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 table" sheetId="1" state="visible" r:id="rId3"/>
    <sheet name="Statistics" sheetId="2" state="visible" r:id="rId4"/>
    <sheet name="Method notes" sheetId="3" state="visible" r:id="rId5"/>
    <sheet name="AI-journal_change" sheetId="4" state="visible" r:id="rId6"/>
  </sheets>
  <definedNames>
    <definedName function="false" hidden="true" localSheetId="0" name="_xlnm._FilterDatabase" vbProcedure="false">'Classification table'!$A$1:$H$108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<sst xmlns="http://schemas.openxmlformats.org/spreadsheetml/2006/main" count="1129" uniqueCount="451">
  <si>
    <t xml:space="preserve">Article ID</t>
  </si>
  <si>
    <t xml:space="preserve">Reference</t>
  </si>
  <si>
    <t xml:space="preserve">MWP technique</t>
  </si>
  <si>
    <t xml:space="preserve">Relevance for TC MWP</t>
  </si>
  <si>
    <t xml:space="preserve">Classification category</t>
  </si>
  <si>
    <t xml:space="preserve">Application axis</t>
  </si>
  <si>
    <t xml:space="preserve">Test methodology axis</t>
  </si>
  <si>
    <t xml:space="preserve">Data analysis type</t>
  </si>
  <si>
    <t xml:space="preserve">P01</t>
  </si>
  <si>
    <t xml:space="preserve">Sadeghi, Peyman and Karimi, Amirhossein and Torbatifard, Shadan and Goli, Ahmad (2024)</t>
  </si>
  <si>
    <t xml:space="preserve">IRT only</t>
  </si>
  <si>
    <t xml:space="preserve">Medium</t>
  </si>
  <si>
    <t xml:space="preserve">Standalone MWP study</t>
  </si>
  <si>
    <t xml:space="preserve">LVE stiffness / complex modulus characterization</t>
  </si>
  <si>
    <t xml:space="preserve">IRT free-free resonance (Longitudinal)</t>
  </si>
  <si>
    <t xml:space="preserve">Frequency domain; analytical (closed-form)</t>
  </si>
  <si>
    <t xml:space="preserve">P02</t>
  </si>
  <si>
    <t xml:space="preserve">du Tertre, Antonin and Kırlangıç, Ahmet Serhan and Cascante, Giovanni and Tighe, Susan L (2022)</t>
  </si>
  <si>
    <t xml:space="preserve">UT only</t>
  </si>
  <si>
    <t xml:space="preserve">High</t>
  </si>
  <si>
    <t xml:space="preserve">Comparative study (MWP vs conventional)</t>
  </si>
  <si>
    <t xml:space="preserve">UT surface-wave (P/R-waves)</t>
  </si>
  <si>
    <t xml:space="preserve">Time + frequency domain; analytical (closed-form)</t>
  </si>
  <si>
    <t xml:space="preserve">P03</t>
  </si>
  <si>
    <t xml:space="preserve">Boz, I. and Solaimanian, M. (2019)</t>
  </si>
  <si>
    <t xml:space="preserve">Other / not specified in form</t>
  </si>
  <si>
    <t xml:space="preserve">IRT resonance (Flexural)</t>
  </si>
  <si>
    <t xml:space="preserve">Frequency domain; empirical / regression</t>
  </si>
  <si>
    <t xml:space="preserve">P04</t>
  </si>
  <si>
    <t xml:space="preserve">Veeraragavan, R.K. and Nivedya, M.K. and Mallick, R.B. (2019)</t>
  </si>
  <si>
    <t xml:space="preserve">Low</t>
  </si>
  <si>
    <t xml:space="preserve">MWP + conventional tests (no formal comparison)</t>
  </si>
  <si>
    <t xml:space="preserve">UT through-transmission (P-waves)</t>
  </si>
  <si>
    <t xml:space="preserve">Frequency domain; method not reported</t>
  </si>
  <si>
    <t xml:space="preserve">P05</t>
  </si>
  <si>
    <t xml:space="preserve">Diakhaté, M. and Larcher, N. and Takarli, M. and Angellier, N. and Petit, C. (2012)</t>
  </si>
  <si>
    <t xml:space="preserve">Neither UT nor IRT</t>
  </si>
  <si>
    <t xml:space="preserve">Damage / durability monitoring</t>
  </si>
  <si>
    <t xml:space="preserve">No UT/IRT methodology reported</t>
  </si>
  <si>
    <t xml:space="preserve">Domain not reported; method not reported</t>
  </si>
  <si>
    <t xml:space="preserve">P07</t>
  </si>
  <si>
    <t xml:space="preserve">Zhao, K. and Song, S. and Wei, Y. and Li, G. and Guo, F. (2023)</t>
  </si>
  <si>
    <t xml:space="preserve">P08</t>
  </si>
  <si>
    <t xml:space="preserve">Pezhouhan Tavassoti-Kheiry, Ilker Boz, Xuan Chen, Mansour Solaimanian (2017)</t>
  </si>
  <si>
    <t xml:space="preserve">Time domain; analytical (closed-form)</t>
  </si>
  <si>
    <t xml:space="preserve">P09</t>
  </si>
  <si>
    <t xml:space="preserve">Mallick, Rajib B. and Nivedya, M.K. and Veeraragavan, Ramkumar and Nazarian, Soheil and Tirado, Cesar (2019)</t>
  </si>
  <si>
    <t xml:space="preserve">Domain not reported; analytical (closed-form)</t>
  </si>
  <si>
    <t xml:space="preserve">P11</t>
  </si>
  <si>
    <t xml:space="preserve">Zargar, M. and Banerjee, S. and Bullen, F. and Ayers, R. (2019)</t>
  </si>
  <si>
    <t xml:space="preserve">QC / empirical correlation (strength, density, voids)</t>
  </si>
  <si>
    <t xml:space="preserve">Time domain; empirical / regression</t>
  </si>
  <si>
    <t xml:space="preserve">P15</t>
  </si>
  <si>
    <t xml:space="preserve">Tavassoti-Kheiry, Pezhouhan and Boz, Ilker and Chen, Xuan and Solaimanian (2017)</t>
  </si>
  <si>
    <t xml:space="preserve">P16</t>
  </si>
  <si>
    <t xml:space="preserve">Ye, Feilong and Ding, Xunhao and Ma, Tao and Ye, Zhongyun and Su, Zhizhou and Zhang, Shunquan (2025)</t>
  </si>
  <si>
    <t xml:space="preserve">UT through-transmission</t>
  </si>
  <si>
    <t xml:space="preserve">P17</t>
  </si>
  <si>
    <t xml:space="preserve">Boz, Ilker and Chen, Xuan and Solaimanian, Mansour and American Society of Civil Engineers (2017)</t>
  </si>
  <si>
    <t xml:space="preserve">P19</t>
  </si>
  <si>
    <t xml:space="preserve">Karati, S and Roy, TK (2022)</t>
  </si>
  <si>
    <t xml:space="preserve">UT (configuration not reported) (P-waves)</t>
  </si>
  <si>
    <t xml:space="preserve">P20</t>
  </si>
  <si>
    <t xml:space="preserve">Gu, X.-Y. and Li, S.-W. and Dong, Q. and Xu, X.-R. and Xu, D.-W. and Zhang, T.-J. (2020)</t>
  </si>
  <si>
    <t xml:space="preserve">UT pulse-echo (S-waves)</t>
  </si>
  <si>
    <t xml:space="preserve">Frequency domain; numerical inverse (FEM/other)</t>
  </si>
  <si>
    <t xml:space="preserve">P21</t>
  </si>
  <si>
    <t xml:space="preserve">Bekele, A. and Ryden, N. and Gudmarsson, A. and Birgisson, B. (2019)</t>
  </si>
  <si>
    <t xml:space="preserve">IRT resonance</t>
  </si>
  <si>
    <t xml:space="preserve">P23</t>
  </si>
  <si>
    <t xml:space="preserve">Mun, S. and Lee, S.-J. (2015)</t>
  </si>
  <si>
    <t xml:space="preserve">P24</t>
  </si>
  <si>
    <t xml:space="preserve">Dareyni, Mohammad and Vahid Pourjafar, Seyed and Mohammadzadeh Moghaddam, Abolfazl (2023)</t>
  </si>
  <si>
    <t xml:space="preserve">Time domain; method not reported</t>
  </si>
  <si>
    <t xml:space="preserve">P25</t>
  </si>
  <si>
    <t xml:space="preserve">McGovern, M.E. and Behnia, B. and Buttlar, W.G. and Reis, H. (2013)</t>
  </si>
  <si>
    <t xml:space="preserve">UT through-transmission (P/S-waves)</t>
  </si>
  <si>
    <t xml:space="preserve">P27</t>
  </si>
  <si>
    <t xml:space="preserve">McGovern, M.E. and Buttlar, W.G. and Reis, H. (2014)</t>
  </si>
  <si>
    <t xml:space="preserve">P28</t>
  </si>
  <si>
    <t xml:space="preserve">You, L. and You, Z. and Dai, Q. and Guo, S. and Wang, J. and Schultz, M. (2018)</t>
  </si>
  <si>
    <t xml:space="preserve">QC / empirical correlation (strength, density, voids) (+ damage)</t>
  </si>
  <si>
    <t xml:space="preserve">P29</t>
  </si>
  <si>
    <t xml:space="preserve">Tavassoti-Kheiry, Pezhouhan and Solaimanian, Mansour and Qui, Tong (2016)</t>
  </si>
  <si>
    <t xml:space="preserve">P31</t>
  </si>
  <si>
    <t xml:space="preserve">In, Chi-Won and Kim, Jin-Yeon and Kurtis, Kimberly E. and Jacobs, Laurence J. (2009)</t>
  </si>
  <si>
    <t xml:space="preserve">UT surface-wave (R-waves)</t>
  </si>
  <si>
    <t xml:space="preserve">Time + frequency domain; method not reported</t>
  </si>
  <si>
    <t xml:space="preserve">P32</t>
  </si>
  <si>
    <t xml:space="preserve">Arabani, M. and Kheiry, P.T. (2007)</t>
  </si>
  <si>
    <t xml:space="preserve">P33</t>
  </si>
  <si>
    <t xml:space="preserve">Solaimanian, M. and Boz, I. (2014)</t>
  </si>
  <si>
    <t xml:space="preserve">P34</t>
  </si>
  <si>
    <t xml:space="preserve">Grilli, Andrea and Graziani, Andrea and Bocci, Maurizio (2012)</t>
  </si>
  <si>
    <t xml:space="preserve">P35</t>
  </si>
  <si>
    <t xml:space="preserve">Xie, T. and Qiu, Y. and Jiang, Z. and Lan, B. (2007)</t>
  </si>
  <si>
    <t xml:space="preserve">QC / empirical correlation (strength, density, voids) (+ stiffness)</t>
  </si>
  <si>
    <t xml:space="preserve">P36</t>
  </si>
  <si>
    <t xml:space="preserve">Wu, Y.C. and Cascante, G. and Pandey, M.D. (2014)</t>
  </si>
  <si>
    <t xml:space="preserve">P39</t>
  </si>
  <si>
    <t xml:space="preserve">Pan, W.-H. and Sun, X.-D. and Wu, L.-M. and Yang, K.-K. and Tang, N. (2019)</t>
  </si>
  <si>
    <t xml:space="preserve">P40</t>
  </si>
  <si>
    <t xml:space="preserve">Cheng, Y.-C. and Zhang, P. and Jiao, Y.-B. and Wang, Y.-D. and Tao, J.-L. (2013)</t>
  </si>
  <si>
    <t xml:space="preserve">P41</t>
  </si>
  <si>
    <t xml:space="preserve">Wu, Jinrong and Hu, Yanyan and Jin, Qingfen and Zhao, Wenzhu (2024)</t>
  </si>
  <si>
    <t xml:space="preserve">UT (configuration not reported)</t>
  </si>
  <si>
    <t xml:space="preserve">P43</t>
  </si>
  <si>
    <t xml:space="preserve">Zhang, W. and Akber, M.A. and Hou, S. and Bian, J. and Zhang, D. and Le, Q. (2019)</t>
  </si>
  <si>
    <t xml:space="preserve">P44</t>
  </si>
  <si>
    <t xml:space="preserve">Kweon, G. and Richard Kim, Y. (2006)</t>
  </si>
  <si>
    <t xml:space="preserve">P45</t>
  </si>
  <si>
    <t xml:space="preserve">Mounier, Damien and Di Benedetto, Hervé and Sauzéat, Cédric (2012)</t>
  </si>
  <si>
    <t xml:space="preserve">UT + IRT</t>
  </si>
  <si>
    <t xml:space="preserve">UT through-transmission (S-waves) + IRT free-free resonance (Longitudinal)</t>
  </si>
  <si>
    <t xml:space="preserve">P47</t>
  </si>
  <si>
    <t xml:space="preserve">Kim, D. and Kim, Y.R. (2017)</t>
  </si>
  <si>
    <t xml:space="preserve">IRT free-free resonance (Longitudinal/Flexural)</t>
  </si>
  <si>
    <t xml:space="preserve">P48</t>
  </si>
  <si>
    <t xml:space="preserve">Qiu, K. and Chen, H. and Sun, W. and Sun, L. and Hong, J. and Zhao, G. (2014)</t>
  </si>
  <si>
    <t xml:space="preserve">P49</t>
  </si>
  <si>
    <t xml:space="preserve">Karoliny Lemos Bezerra, Ana and Carret, Jean-Claude and Feitosa de Albuquerque Lima Babadopulos, Lucas and Barbosa Soares, Jorge (2023)</t>
  </si>
  <si>
    <t xml:space="preserve">P50</t>
  </si>
  <si>
    <t xml:space="preserve">Mun, S. (2015)</t>
  </si>
  <si>
    <t xml:space="preserve">IRT resonance (Longitudinal)</t>
  </si>
  <si>
    <t xml:space="preserve">P51</t>
  </si>
  <si>
    <t xml:space="preserve">Mahdavi, Alireza and Moghaddam, Abolfazl Mohammadzadeh and Dareyni, Mohammad (2021)</t>
  </si>
  <si>
    <t xml:space="preserve">Not reported</t>
  </si>
  <si>
    <t xml:space="preserve">P52</t>
  </si>
  <si>
    <t xml:space="preserve">Norambuena-Contreras, J. and Castro-Fresno, D. and Vega-Zamanillo, A. and Celaya, M. and Lombillo-Vozmediano, I. (2010)</t>
  </si>
  <si>
    <t xml:space="preserve">P53</t>
  </si>
  <si>
    <t xml:space="preserve">Apaza Apaza, F.R. and Vázquez, V.F. and Paje, S.E. and Gulisano, F. and Rodríguez, L.S. and Gallego, J. (2025)</t>
  </si>
  <si>
    <t xml:space="preserve">LVE stiffness / complex modulus characterization (+ QC)</t>
  </si>
  <si>
    <t xml:space="preserve">P55</t>
  </si>
  <si>
    <t xml:space="preserve">Al-Zajrawi, A.K. and Mashkur, B.T. and Al-Zahra, Z.A. (2020)</t>
  </si>
  <si>
    <t xml:space="preserve">P56</t>
  </si>
  <si>
    <t xml:space="preserve">Grilli, V. and Grilli, A. and Graziani, A. and Jaczewski, M. (2024)</t>
  </si>
  <si>
    <t xml:space="preserve">P59</t>
  </si>
  <si>
    <t xml:space="preserve">Benaboud, S. and Takarli, M. and Allou, F. and Dubois, F. and Nicolaï, A. and Pouteau, B. and Beghin, A. (2022)</t>
  </si>
  <si>
    <t xml:space="preserve">P60</t>
  </si>
  <si>
    <t xml:space="preserve">Medina, J.R. and Underwood, B.S. and Mamlouk, M. (2018)</t>
  </si>
  <si>
    <t xml:space="preserve">P63</t>
  </si>
  <si>
    <t xml:space="preserve">Yadav Shivpal, Kusam Abhilash and Tayebali Akhtarhusein A (2021)</t>
  </si>
  <si>
    <t xml:space="preserve">IRT free-free resonance (Flexural)</t>
  </si>
  <si>
    <t xml:space="preserve">P64</t>
  </si>
  <si>
    <t xml:space="preserve">Karmakar, S and Roy, TK (2020)</t>
  </si>
  <si>
    <t xml:space="preserve">P65</t>
  </si>
  <si>
    <t xml:space="preserve">Chen, L. and Qian, Z. and Zhang, L. (2012)</t>
  </si>
  <si>
    <t xml:space="preserve">P66</t>
  </si>
  <si>
    <t xml:space="preserve">Elhafeez, T.A. and Amer, R. and Saad, A. and Kady, H.E. and Madi, M. (2014)</t>
  </si>
  <si>
    <t xml:space="preserve">UT through-transmission (S-waves)</t>
  </si>
  <si>
    <t xml:space="preserve">P67</t>
  </si>
  <si>
    <t xml:space="preserve">Tavassoti-Kheiry, P. and Boz, I. and Solaimanian, M. and Qiu, T. (2018)</t>
  </si>
  <si>
    <t xml:space="preserve">P69</t>
  </si>
  <si>
    <t xml:space="preserve">Khazanovich, L. and Velasquez, R. and Nesvijski, E.G. (2005)</t>
  </si>
  <si>
    <t xml:space="preserve">P71</t>
  </si>
  <si>
    <t xml:space="preserve">Grilli, A. and Bocci, M. and Tarantino, A.M. (2013)</t>
  </si>
  <si>
    <t xml:space="preserve">LVE stiffness / complex modulus characterization (+ damage)</t>
  </si>
  <si>
    <t xml:space="preserve">P72</t>
  </si>
  <si>
    <t xml:space="preserve">Fan, L. and Zheng, J. and Peng, S. and Xun, Z. and Chen, G. (2023)</t>
  </si>
  <si>
    <t xml:space="preserve">P73</t>
  </si>
  <si>
    <t xml:space="preserve">Arnaud, L. and Houel, A. (2007)</t>
  </si>
  <si>
    <t xml:space="preserve">Damage / durability monitoring (+ stiffness)</t>
  </si>
  <si>
    <t xml:space="preserve">P75</t>
  </si>
  <si>
    <t xml:space="preserve">Singh, Manpreet and Adhikari, Anuj and Maurya, Manish Kumar and Srivastava, Anshuman and Chhabra, Rishi Singh (2020)</t>
  </si>
  <si>
    <t xml:space="preserve">P77</t>
  </si>
  <si>
    <t xml:space="preserve">Kia, Alalea and Wong, Hong S and Cheeseman, Christopher R (2022)</t>
  </si>
  <si>
    <t xml:space="preserve">P79</t>
  </si>
  <si>
    <t xml:space="preserve">Jiang, Z.-Y. and Ponniah, J. and Cascante, G. (2006)</t>
  </si>
  <si>
    <t xml:space="preserve">P80</t>
  </si>
  <si>
    <t xml:space="preserve">Baker, Mousa Bani and Abendeh, Raed (2022)</t>
  </si>
  <si>
    <t xml:space="preserve">P81</t>
  </si>
  <si>
    <t xml:space="preserve">Tavassoti, P. and Ameen, T.H. and Baaj, H. and Cascante, G. (2022)</t>
  </si>
  <si>
    <t xml:space="preserve">P82</t>
  </si>
  <si>
    <t xml:space="preserve">Al-Mufti, Rafal L. and Fried, Anton N. (2017)</t>
  </si>
  <si>
    <t xml:space="preserve">P83</t>
  </si>
  <si>
    <t xml:space="preserve">Sakhaeifar, Maryam S. and Richard Kim, Y. and Garcia Montano, Blanca E. (2017)</t>
  </si>
  <si>
    <t xml:space="preserve">P84</t>
  </si>
  <si>
    <t xml:space="preserve">Grilli, A. and Bocci, E. and Graziani, A. (2013)</t>
  </si>
  <si>
    <t xml:space="preserve">P85</t>
  </si>
  <si>
    <t xml:space="preserve">Ucak, Kaan and Fromme, Paul and Duffour, Philippe and Chen, Lou and Bai, Yun (2024)</t>
  </si>
  <si>
    <t xml:space="preserve">IRT resonance (Longitudinal/Flexural/Torsional)</t>
  </si>
  <si>
    <t xml:space="preserve">P87</t>
  </si>
  <si>
    <t xml:space="preserve">Barbieri, DM and Lou, BW (2024)</t>
  </si>
  <si>
    <t xml:space="preserve">P88</t>
  </si>
  <si>
    <t xml:space="preserve">Kim, Y.Richard and Lee, Yung-Chien (1995)</t>
  </si>
  <si>
    <t xml:space="preserve">IRT free-free resonance (Longitudinal/Torsional)</t>
  </si>
  <si>
    <t xml:space="preserve">P89</t>
  </si>
  <si>
    <t xml:space="preserve">Boz, I. and Solaimanian, M. (2018)</t>
  </si>
  <si>
    <t xml:space="preserve">P91</t>
  </si>
  <si>
    <t xml:space="preserve">Daniel, J.S. and Kim, Y.R. (2001)</t>
  </si>
  <si>
    <t xml:space="preserve">P92</t>
  </si>
  <si>
    <t xml:space="preserve">Biligiri, K.P. and Kaloush, K.E. (2010)</t>
  </si>
  <si>
    <t xml:space="preserve">P93</t>
  </si>
  <si>
    <t xml:space="preserve">Arabani, M. and Kheiry, P.T. and Ferdosi, B. (2009)</t>
  </si>
  <si>
    <t xml:space="preserve">P95</t>
  </si>
  <si>
    <t xml:space="preserve">Van Velsor, J.K. and Premkumar, L. and Chehab, G. and Rose, J.L. (2011)</t>
  </si>
  <si>
    <t xml:space="preserve">Low/Medium (2 reviews, discordant)</t>
  </si>
  <si>
    <t xml:space="preserve">Domain not reported; method not reported | Time + frequency domain; analytical (closed-form)</t>
  </si>
  <si>
    <t xml:space="preserve">P96</t>
  </si>
  <si>
    <t xml:space="preserve">Barbosa, E. and Lira, L. and Filho, M.S. and Babadopulos, L. and Soares, J. and Santos, G. and Bastos, J. (2024)</t>
  </si>
  <si>
    <t xml:space="preserve">Time + frequency domain; numerical inverse (FEM/other)</t>
  </si>
  <si>
    <t xml:space="preserve">P97</t>
  </si>
  <si>
    <t xml:space="preserve">Sarsam, S.I. and Kadium, N.S. (2019)</t>
  </si>
  <si>
    <t xml:space="preserve">P98</t>
  </si>
  <si>
    <t xml:space="preserve">Karati, Sukanta and Roy, Tapas Kumar (2022)</t>
  </si>
  <si>
    <t xml:space="preserve">P99</t>
  </si>
  <si>
    <t xml:space="preserve">Arepalli, Uma Maheswar and Kottayi, Nivedya Madankara and Mallick, Rajib B (2019)</t>
  </si>
  <si>
    <t xml:space="preserve">P101</t>
  </si>
  <si>
    <t xml:space="preserve">Carret, JC and Di Benedetto, H and Sauzeat, C (2018)</t>
  </si>
  <si>
    <t xml:space="preserve">P103</t>
  </si>
  <si>
    <t xml:space="preserve">Al-Mufti, R.L. and Fried, A.N. (2016)</t>
  </si>
  <si>
    <t xml:space="preserve">P104</t>
  </si>
  <si>
    <t xml:space="preserve">Kumar, Jyant and Gohil, Ramdev R. (2023)</t>
  </si>
  <si>
    <t xml:space="preserve">P105</t>
  </si>
  <si>
    <t xml:space="preserve">McGovern, M.E. and Buttlar, W.G. and Reis, H. (2016)</t>
  </si>
  <si>
    <t xml:space="preserve">UT surface-wave (P/S-waves)</t>
  </si>
  <si>
    <t xml:space="preserve">P107</t>
  </si>
  <si>
    <t xml:space="preserve">Li, Long and Chen, Jun (2021)</t>
  </si>
  <si>
    <t xml:space="preserve">UT pulse-echo (R-waves)</t>
  </si>
  <si>
    <t xml:space="preserve">P108</t>
  </si>
  <si>
    <t xml:space="preserve">Tavassoti, Pejoohan and Ameen, Taher H and Baaj, Hassan and Cascante, Giovanni (2022)</t>
  </si>
  <si>
    <t xml:space="preserve">P111</t>
  </si>
  <si>
    <t xml:space="preserve">Carret, J.-C. and Babadopulos, L. (2025)</t>
  </si>
  <si>
    <t xml:space="preserve">P113</t>
  </si>
  <si>
    <t xml:space="preserve">Yang, Xiaolong and Huang, Richeng and Meng, Yongjun and Liang, Junlin and Rong, Hongliu and Liu, Yusong and Tan, Shengrui and He, Xinyi and Feng, Yumeng (2024)</t>
  </si>
  <si>
    <t xml:space="preserve">P114</t>
  </si>
  <si>
    <t xml:space="preserve">Chan, S and Chen, Si and Gumisiriza, G and Lee, S and Transportation Association of Canada (2023)</t>
  </si>
  <si>
    <t xml:space="preserve">Time domain; qualitative</t>
  </si>
  <si>
    <t xml:space="preserve">P115</t>
  </si>
  <si>
    <t xml:space="preserve">Syukuriah, S. and Hustim, M. and Tjaronge, W. and Irmawaty, R. (2025)</t>
  </si>
  <si>
    <t xml:space="preserve">P117</t>
  </si>
  <si>
    <t xml:space="preserve">Atakan, Mert and Yıldız, Kürşat (2024)</t>
  </si>
  <si>
    <t xml:space="preserve">P119</t>
  </si>
  <si>
    <t xml:space="preserve">Li, Long and Chen, Jun (2024)</t>
  </si>
  <si>
    <t xml:space="preserve">UT through-transmission (S/R-waves)</t>
  </si>
  <si>
    <t xml:space="preserve">P120</t>
  </si>
  <si>
    <t xml:space="preserve">Rashetnia, Reza and Kusam, Abhilash and Yadav, Shivpal and Pour-Ghaz, Mohammad and Tayebali, Akhtarhusein (2022)</t>
  </si>
  <si>
    <t xml:space="preserve">P123</t>
  </si>
  <si>
    <t xml:space="preserve">Hou, S. and Deng, Y. and Jin, R. and Shi, X. and Luo, X. (2022)</t>
  </si>
  <si>
    <t xml:space="preserve">P124</t>
  </si>
  <si>
    <t xml:space="preserve">Pratama, A.P. and Caronge, M.A. and Tjaronge, M.W. (2025)</t>
  </si>
  <si>
    <t xml:space="preserve">P125</t>
  </si>
  <si>
    <t xml:space="preserve">Majhi, Debanjan and Karmakar, Sandip and Roy, Tapas Kumar (2017)</t>
  </si>
  <si>
    <t xml:space="preserve">P127</t>
  </si>
  <si>
    <t xml:space="preserve">Li, F. and Shen, C. and Li, Y. and Li, H. (2006)</t>
  </si>
  <si>
    <t xml:space="preserve">P128</t>
  </si>
  <si>
    <t xml:space="preserve">Ryden, N. (2010)</t>
  </si>
  <si>
    <t xml:space="preserve">P129</t>
  </si>
  <si>
    <t xml:space="preserve">Shiong, F. and Shaffie, E. and Din, M.S.I. and Mohamad Rais, N. and Kamaluddin, N.A. (2025)</t>
  </si>
  <si>
    <t xml:space="preserve">P130</t>
  </si>
  <si>
    <t xml:space="preserve">Ramadan, K.Z. and Haddad, R.H. (2017)</t>
  </si>
  <si>
    <t xml:space="preserve">P131</t>
  </si>
  <si>
    <t xml:space="preserve">Li, S. and Gu, X. and Zhang, T. (2019)</t>
  </si>
  <si>
    <t xml:space="preserve">Comparative study (MWP vs conventional) | Standalone MWP study</t>
  </si>
  <si>
    <t xml:space="preserve">Damage / durability monitoring | LVE stiffness / complex modulus characterization (+ QC)</t>
  </si>
  <si>
    <t xml:space="preserve">Time + frequency domain; method not reported | Time + frequency domain; numerical inverse (FEM/other)</t>
  </si>
  <si>
    <t xml:space="preserve">P133</t>
  </si>
  <si>
    <t xml:space="preserve">Ahn, Hyung Jun and Lee, Jusang (2016)</t>
  </si>
  <si>
    <t xml:space="preserve">P135</t>
  </si>
  <si>
    <t xml:space="preserve">Sharma, D. and Sharma, A. (2023)</t>
  </si>
  <si>
    <t xml:space="preserve">P136</t>
  </si>
  <si>
    <t xml:space="preserve">Boz, I. and Tavassoti-Kheiry, P. and Solaimanian, M. (2017)</t>
  </si>
  <si>
    <t xml:space="preserve">P137</t>
  </si>
  <si>
    <t xml:space="preserve">Boz, I. and Solaimanian, M. (2016)</t>
  </si>
  <si>
    <t xml:space="preserve">P139</t>
  </si>
  <si>
    <t xml:space="preserve">Zhang, Lei and Li, Tian-shuai and Tan, Yi-qiu (2016)</t>
  </si>
  <si>
    <t xml:space="preserve">P141</t>
  </si>
  <si>
    <t xml:space="preserve">Larcher, N. and Takarli, M. and Angellier, N. and Petit, C. and Sebbah, H. (2015)</t>
  </si>
  <si>
    <t xml:space="preserve">P143</t>
  </si>
  <si>
    <t xml:space="preserve">UT (configuration not reported) (P/R-waves)</t>
  </si>
  <si>
    <t xml:space="preserve">P144</t>
  </si>
  <si>
    <t xml:space="preserve">Birgisson, B. and Roque, R. and Page, G.C. (2003)</t>
  </si>
  <si>
    <t xml:space="preserve">P145</t>
  </si>
  <si>
    <t xml:space="preserve">Jinrong, W. and Kai, Q. and Dongdong, M. (2014)</t>
  </si>
  <si>
    <t xml:space="preserve">P149</t>
  </si>
  <si>
    <t xml:space="preserve">McGovern, M.E. and Behnia, B. and Buttlar, W.G. and Reis, H. (2017)</t>
  </si>
  <si>
    <t xml:space="preserve">UT surface-wave (S-waves)</t>
  </si>
  <si>
    <t xml:space="preserve">P151</t>
  </si>
  <si>
    <t xml:space="preserve">Arabani, M. and Khe Iry, P.T. and Ferdowsi, B. (2012)</t>
  </si>
  <si>
    <t xml:space="preserve">P152</t>
  </si>
  <si>
    <t xml:space="preserve">Rahul, M.S. and Jakati, S.S. and Sahana, K. and Shiva Kumar, G. (2024)</t>
  </si>
  <si>
    <t xml:space="preserve">P153</t>
  </si>
  <si>
    <t xml:space="preserve">Boz, I. and Bekiroglu, K. and Solaimanian, M. and Tavassoti-Kheiry, P. and Lagoa, C. (2017)</t>
  </si>
  <si>
    <t xml:space="preserve">1. MWP technique (unit: article, n = 107)</t>
  </si>
  <si>
    <t xml:space="preserve">Category</t>
  </si>
  <si>
    <t xml:space="preserve">Count</t>
  </si>
  <si>
    <t xml:space="preserve">%</t>
  </si>
  <si>
    <t xml:space="preserve">Total occurrences</t>
  </si>
  <si>
    <t xml:space="preserve">2. Material types (multi-label, % of n = 107 articles)  —  an article may count in several categories</t>
  </si>
  <si>
    <t xml:space="preserve">Hot Mix Asphalt (HMA)</t>
  </si>
  <si>
    <t xml:space="preserve">Cement-treated / hybrid material</t>
  </si>
  <si>
    <t xml:space="preserve">Cold / emulsion-treated mixture</t>
  </si>
  <si>
    <t xml:space="preserve">Cement concrete (incl. RA concrete)</t>
  </si>
  <si>
    <t xml:space="preserve">Other asphaltic material</t>
  </si>
  <si>
    <t xml:space="preserve">Other / not specified</t>
  </si>
  <si>
    <t xml:space="preserve">Warm Mix Asphalt (WMA)</t>
  </si>
  <si>
    <t xml:space="preserve">Binder only</t>
  </si>
  <si>
    <t xml:space="preserve">3. Relevance for TC MWP (unit: article, n = 107)</t>
  </si>
  <si>
    <t xml:space="preserve">4. Specimen geometries in UT/IRT blocks (multi-label, % of n = 95)  —  articles with UT/IRT specimen data only</t>
  </si>
  <si>
    <t xml:space="preserve">Cylinder / core</t>
  </si>
  <si>
    <t xml:space="preserve">Prism / beam</t>
  </si>
  <si>
    <t xml:space="preserve">Disc</t>
  </si>
  <si>
    <t xml:space="preserve">Cube</t>
  </si>
  <si>
    <t xml:space="preserve">Slab / plate</t>
  </si>
  <si>
    <t xml:space="preserve">Field pavement / in-situ</t>
  </si>
  <si>
    <t xml:space="preserve">Semi-circular (half-moon)</t>
  </si>
  <si>
    <t xml:space="preserve">OPERATIONAL DEFINITIONS — all labels derive exclusively from review-form fields (no external sources).</t>
  </si>
  <si>
    <t xml:space="preserve">Classification rules are stored in the six editable AI_tables/*.csv files (see README): technique family keywords, conventional-test keywords, application-axis keywords, material normalization, geometry normalization, comparison-assessed keywords. Correct any misclassification there and re-run.</t>
  </si>
  <si>
    <t xml:space="preserve">MWP technique — from 'C2. What type of test is being reported?' (Tests 1-4); 'Other' free text matched against AI_table_technique_keywords.csv (UT-family / IRT-family).</t>
  </si>
  <si>
    <t xml:space="preserve">Relevance — reviewer field 'Relevance for the laboratory characterization of bituminous materials from MWP tests' (High / Medium / Low).</t>
  </si>
  <si>
    <t xml:space="preserve">Classification category — conventional test reported AND comparison assessed (AI_table_comparison_keywords.csv) -&gt; Comparative study; conventional without assessed comparison -&gt; co-reported; else Standalone MWP study.</t>
  </si>
  <si>
    <t xml:space="preserve">Application axis — keyword scoring (AI_table_application_keywords.csv) over properties determined, rheological-modeling purpose and key contribution; dominant family (+ strong secondary).</t>
  </si>
  <si>
    <t xml:space="preserve">Test methodology axis — UT: configuration + P/S/R waves; IRT: boundary conditions + vibration modes.</t>
  </si>
  <si>
    <t xml:space="preserve">Data analysis type — signal domain (time / frequency / both) x resolution method (analytical / numerical inverse / empirical-regression / qualitative).</t>
  </si>
  <si>
    <t xml:space="preserve">Geometries — only C3.2 fields of UT/IRT test blocks; normalized via AI_table_geometry_keywords.csv; multi-label (percentages sum to more than 100%).</t>
  </si>
  <si>
    <t xml:space="preserve">Duplicates — P95 and P131 double-reviewed; merged by union of labels; discordant relevance flagged.</t>
  </si>
  <si>
    <t xml:space="preserve">ID</t>
  </si>
  <si>
    <t xml:space="preserve">Date</t>
  </si>
  <si>
    <t xml:space="preserve">File</t>
  </si>
  <si>
    <t xml:space="preserve">Type</t>
  </si>
  <si>
    <t xml:space="preserve">Change</t>
  </si>
  <si>
    <t xml:space="preserve">Justification</t>
  </si>
  <si>
    <t xml:space="preserve">Impact on results</t>
  </si>
  <si>
    <t xml:space="preserve">001</t>
  </si>
  <si>
    <t xml:space="preserve">2026-07-28</t>
  </si>
  <si>
    <t xml:space="preserve">config_mwp.py</t>
  </si>
  <si>
    <t xml:space="preserve">NEW</t>
  </si>
  <si>
    <t xml:space="preserve">Central configuration module: paths, taxonomy labels, all keyword rule tables (UT_KEYS, IRT_KEYS, CONV_KEYS, APP_RULES, MATERIAL_RULES, GEOMETRY_RULES), plot styling</t>
  </si>
  <si>
    <t xml:space="preserve">Single source of truth; rules editable without touching logic; alignment with method structure (config separated from functions)</t>
  </si>
  <si>
    <t xml:space="preserve">None (rules transcribed from v1)</t>
  </si>
  <si>
    <t xml:space="preserve">002</t>
  </si>
  <si>
    <t xml:space="preserve">functions_mwp.py</t>
  </si>
  <si>
    <t xml:space="preserve">REFACTOR</t>
  </si>
  <si>
    <t xml:space="preserve">v1.0 → v2.0: all constants imported from config_mwp; typed signatures; _first_match() rule-table normalizer replaces if/elif chains for materials and geometries</t>
  </si>
  <si>
    <t xml:space="preserve">Maintainability, traceability of every label to a rule row</t>
  </si>
  <si>
    <t xml:space="preserve">See 004</t>
  </si>
  <si>
    <t xml:space="preserve">003</t>
  </si>
  <si>
    <t xml:space="preserve">IMPROVE</t>
  </si>
  <si>
    <t xml:space="preserve">New validate_dataset() QC stage: detects duplicate Article IDs, missing relevance, missing IDs, non-standard years; findings written to journal</t>
  </si>
  <si>
    <t xml:space="preserve">PhD-level reproducibility: data-quality findings must be logged, not silent</t>
  </si>
  <si>
    <t xml:space="preserve">Journal now reports P95/P131 duplicates and P51/P125 missing relevance</t>
  </si>
  <si>
    <t xml:space="preserve">004</t>
  </si>
  <si>
    <t xml:space="preserve">FIX</t>
  </si>
  <si>
    <t xml:space="preserve">Material rule hma now matches as substring (v1 required exact s == "hma"); P20 entry "only the numerical model of the HMA mixture" now → HMA</t>
  </si>
  <si>
    <t xml:space="preserve">The v1 rule missed an explicit HMA mention in free text</t>
  </si>
  <si>
    <t xml:space="preserve">Materials chart: Other / not specified 4.7% → 3.7% (all other statistics identical)</t>
  </si>
  <si>
    <t xml:space="preserve">005</t>
  </si>
  <si>
    <t xml:space="preserve">Application-axis secondary labels use controlled short names from APP_RULES ((+ stiffness), (+ damage), (+ QC)) instead of string-mangled fragments ((+ lve stiffness))</t>
  </si>
  <si>
    <t xml:space="preserve">Label consistency in the classification table</t>
  </si>
  <si>
    <t xml:space="preserve">Labels only; counts unchanged</t>
  </si>
  <si>
    <t xml:space="preserve">006</t>
  </si>
  <si>
    <t xml:space="preserve">run_pipeline.py</t>
  </si>
  <si>
    <t xml:space="preserve">v1 monolithic main() split into 5 explicit stages: load_and_validate → classify_forms → merge_duplicates → compute_stats_and_charts → persist; chart helpers _pie / _barh factored</t>
  </si>
  <si>
    <t xml:space="preserve">Mirrors the pipeline schema of the bibliometric method (README diagram)</t>
  </si>
  <si>
    <t xml:space="preserve">None</t>
  </si>
  <si>
    <t xml:space="preserve">007</t>
  </si>
  <si>
    <t xml:space="preserve">Duplicate-merge rewritten as explicit group iteration (v1 groupby().apply() raised KeyError on pandas ≥ 2.2 group-key exclusion)</t>
  </si>
  <si>
    <t xml:space="preserve">Robustness across pandas versions</t>
  </si>
  <si>
    <t xml:space="preserve">None (was already hot-fixed in v1 run)</t>
  </si>
  <si>
    <t xml:space="preserve">008</t>
  </si>
  <si>
    <t xml:space="preserve">CLI added (argparse, --no-xlsx); XLSX writer callable from the pipeline (single command recompiles everything); journal messages prefixed by stage</t>
  </si>
  <si>
    <t xml:space="preserve">One-command reproducibility: python3 run_pipeline.py</t>
  </si>
  <si>
    <t xml:space="preserve">009</t>
  </si>
  <si>
    <t xml:space="preserve">Pie labels: labeldistance/pctdistance tuned to remove label overlap of small slices (v1 fig1: UT + IRT label collided with Neither)</t>
  </si>
  <si>
    <t xml:space="preserve">Figure legibility</t>
  </si>
  <si>
    <t xml:space="preserve">Figures re-rendered (fig1–fig4)</t>
  </si>
  <si>
    <t xml:space="preserve">010</t>
  </si>
  <si>
    <t xml:space="preserve">write_xlsx.py</t>
  </si>
  <si>
    <t xml:space="preserve">Statistics sheet uses raw counts persisted by the pipeline (materials_cnt, geometry_cnt) instead of counts back-computed from rounded percentages</t>
  </si>
  <si>
    <t xml:space="preserve">Removes rounding-error risk in the deliverable</t>
  </si>
  <si>
    <t xml:space="preserve">Statistics sheet exact; visible values unchanged</t>
  </si>
  <si>
    <t xml:space="preserve">011</t>
  </si>
  <si>
    <t xml:space="preserve">Workbook gains sheet AI-journal_change (this table) so the deliverable is self-documenting</t>
  </si>
  <si>
    <t xml:space="preserve">Method requirement: change journal as a table inside the deliverable</t>
  </si>
  <si>
    <t xml:space="preserve">New sheet</t>
  </si>
  <si>
    <t xml:space="preserve">012</t>
  </si>
  <si>
    <t xml:space="preserve">corrections.md</t>
  </si>
  <si>
    <t xml:space="preserve">DOC/NEW</t>
  </si>
  <si>
    <t xml:space="preserve">Corrections document: 7 data-quality findings (D1–D7), 4 methodological corrections (C1–C4), 4 verified non-issues (V1–V4), 3 limitations</t>
  </si>
  <si>
    <t xml:space="preserve">Method requirement</t>
  </si>
  <si>
    <t xml:space="preserve">—</t>
  </si>
  <si>
    <t xml:space="preserve">013</t>
  </si>
  <si>
    <t xml:space="preserve">README.md</t>
  </si>
  <si>
    <t xml:space="preserve">Project README with pipeline schema (Mermaid + ASCII), function-level diagrams, taxonomy tables, usage, outputs</t>
  </si>
  <si>
    <t xml:space="preserve">Method requirement (same structure as the companion bibliometric study)</t>
  </si>
  <si>
    <t xml:space="preserve">014</t>
  </si>
  <si>
    <t xml:space="preserve">out/*</t>
  </si>
  <si>
    <t xml:space="preserve">OUTPUT</t>
  </si>
  <si>
    <t xml:space="preserve">Full recompilation: classification table (CSV + XLSX, recalc 29 formulas / 0 errors), fig1–fig4, journal.log regenerated with v2.0</t>
  </si>
  <si>
    <t xml:space="preserve">Deliverables must match code version</t>
  </si>
  <si>
    <t xml:space="preserve">Statistics identical to v1 except item 004</t>
  </si>
  <si>
    <t xml:space="preserve">015</t>
  </si>
  <si>
    <t xml:space="preserve">(project)</t>
  </si>
  <si>
    <t xml:space="preserve">Architecture aligned on the DOI_MWP study: main.py (shared utilities) / mwp_data.py (data + report) / mwp_viz.py (4 panel functions) / run_local.py (only file to edit) / write_xlsx.py</t>
  </si>
  <si>
    <t xml:space="preserve">User provided the original README; method requires this exact file architecture</t>
  </si>
  <si>
    <t xml:space="preserve">None (statistics verified identical to v2.0)</t>
  </si>
  <si>
    <t xml:space="preserve">016</t>
  </si>
  <si>
    <t xml:space="preserve">AI_tables/*.csv</t>
  </si>
  <si>
    <t xml:space="preserve">The 6 keyword rule sets exported from config_mwp.py to editable CSVs: technique, conventional, application, material (row order = priority), geometry, comparison</t>
  </si>
  <si>
    <t xml:space="preserve">Method requirement: "AI-generated classification tables are plain CSV files — fix errors in Excel"; correction workflow without touching code</t>
  </si>
  <si>
    <t xml:space="preserve">None (rules transcribed verbatim)</t>
  </si>
  <si>
    <t xml:space="preserve">017</t>
  </si>
  <si>
    <t xml:space="preserve">main.py</t>
  </si>
  <si>
    <t xml:space="preserve">load_tables(), save_figure(), apply_style() (PALETTE/FONT_SIZE/DPI from run_local), resolve_output_dir() with the [1] overwrite / [2] new-folder prompt, journal helpers</t>
  </si>
  <si>
    <t xml:space="preserve">Same utility roles as main.py of the DOI_MWP study</t>
  </si>
  <si>
    <t xml:space="preserve">018</t>
  </si>
  <si>
    <t xml:space="preserve">run_local.py</t>
  </si>
  <si>
    <t xml:space="preserve">Single settings block: INFO_XLSX, OUTPUT_DIR, TABLES_DIR, PALETTE, FONT_SIZE, DPI, WRITE_XLSX</t>
  </si>
  <si>
    <t xml:space="preserve">Method requirement: "the only file you need to edit"</t>
  </si>
  <si>
    <t xml:space="preserve">Figures restyled with the DOI_MWP palette (#4472C4 / #F4A261, bg #F7F9FC)</t>
  </si>
  <si>
    <t xml:space="preserve">019</t>
  </si>
  <si>
    <t xml:space="preserve">mwp_data.py</t>
  </si>
  <si>
    <t xml:space="preserve">Classifiers now read keywords from the loaded AI tables at call time; save_summary_report() added (report.txt in the DOI_MWP format)</t>
  </si>
  <si>
    <t xml:space="preserve">Corrections in AI_tables apply on next run without code change; report.txt is a method deliverable</t>
  </si>
  <si>
    <t xml:space="preserve">020</t>
  </si>
  <si>
    <t xml:space="preserve">mwp_viz.py</t>
  </si>
  <si>
    <t xml:space="preserve">Figures renamed panel_technique_share / panel_material_types / panel_relevance / panel_geometries; one function per panel, ALL_PANELS registry</t>
  </si>
  <si>
    <t xml:space="preserve">Method naming convention (panel_*.png)</t>
  </si>
  <si>
    <t xml:space="preserve">File names only</t>
  </si>
  <si>
    <t xml:space="preserve">021</t>
  </si>
  <si>
    <t xml:space="preserve">flowchart_mwp.dot/.png</t>
  </si>
  <si>
    <t xml:space="preserve">Graphviz pipeline diagram (source + rendered PNG), mirroring flowchart_local.dot of the DOI_MWP study</t>
  </si>
  <si>
    <t xml:space="preserve">022</t>
  </si>
  <si>
    <t xml:space="preserve">DOC</t>
  </si>
  <si>
    <t xml:space="preserve">Rewritten in the exact DOI_MWP README format: overview, key-features table, architecture, flowchart (Graphviz + mermaid), plain-words steps, input/output tables, install/run/configure, AI-tables correction workflow, file-description table, AI-methodology loop, sessions table, licence</t>
  </si>
  <si>
    <t xml:space="preserve">User request: "un readme.md avec des schémas de pipeline des fonctions comme dans bibliometric study"</t>
  </si>
  <si>
    <t xml:space="preserve">023</t>
  </si>
  <si>
    <t xml:space="preserve">out/* → mwp_output/*</t>
  </si>
  <si>
    <t xml:space="preserve">Full recompilation under the new architecture; xlsx recalc-verified; integrity check: all distributions bit-identical to v2.0</t>
  </si>
  <si>
    <t xml:space="preserve">024</t>
  </si>
  <si>
    <t xml:space="preserve">(data check)</t>
  </si>
  <si>
    <t xml:space="preserve">Verified the 1995 lower bound of the year coverage: P88, Kim &amp; Lee (1995) is a legitimate form entry (with P91 2001 and P144 2003). The AI's chat-side suspicion of a Year typo is retracted; README and corrections.md now state the verified coverage 1995–2025</t>
  </si>
  <si>
    <t xml:space="preserve">Re-verification pass requested by the user; earlier AI comment was unverified speculation</t>
  </si>
  <si>
    <t xml:space="preserve">None (no data changed; documentation corrected)</t>
  </si>
  <si>
    <t xml:space="preserve">025</t>
  </si>
  <si>
    <t xml:space="preserve">Input-specification table: row "UT / IRT block fields" had 2 cells instead of 3 (broken Markdown rendering); file-descriptions table completed with corrections_v2_archive.md; headline results now state coverage 1995–2025 and the verified oldest entry</t>
  </si>
  <si>
    <t xml:space="preserve">Proofreading of the .md files</t>
  </si>
  <si>
    <t xml:space="preserve">026</t>
  </si>
  <si>
    <t xml:space="preserve">AI-journal_change sheet parser now skips the repeated header rows of later session tables (the Session-3 header previously appeared as a data row in the workbook sheet)</t>
  </si>
  <si>
    <t xml:space="preserve">The change journal now spans several sessions, each with its own Markdown table header</t>
  </si>
  <si>
    <t xml:space="preserve">Workbook sheet only</t>
  </si>
  <si>
    <t xml:space="preserve">027</t>
  </si>
  <si>
    <t xml:space="preserve">validate_dataset() additionally logs the year coverage and any non-numeric Year values</t>
  </si>
  <si>
    <t xml:space="preserve">Turns the manual year check of this session into a permanent automated QC step</t>
  </si>
  <si>
    <t xml:space="preserve">journal.log gains one QC line</t>
  </si>
  <si>
    <t xml:space="preserve">028</t>
  </si>
  <si>
    <t xml:space="preserve">Session 4 added: verification results (V5–V7), the three fixes above, and the retraction note</t>
  </si>
  <si>
    <t xml:space="preserve">Method requirement: every session documented</t>
  </si>
  <si>
    <t xml:space="preserve">029</t>
  </si>
  <si>
    <t xml:space="preserve">mwp_output/*</t>
  </si>
  <si>
    <t xml:space="preserve">Recompiled with v3.1; xlsx recalc-verified; integrity check: classification table bit-identical to v3.0/v2.0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</si>
</sst>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3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35.0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10</v>
      </c>
      <c r="D4" s="2" t="s">
        <v>11</v>
      </c>
      <c r="E4" s="2" t="s">
        <v>12</v>
      </c>
      <c r="F4" s="2" t="s">
        <v>25</v>
      </c>
      <c r="G4" s="2" t="s">
        <v>26</v>
      </c>
      <c r="H4" s="2" t="s">
        <v>27</v>
      </c>
    </row>
    <row r="5" customFormat="false" ht="23.85" hidden="false" customHeight="false" outlineLevel="0" collapsed="false">
      <c r="A5" s="2" t="s">
        <v>28</v>
      </c>
      <c r="B5" s="2" t="s">
        <v>29</v>
      </c>
      <c r="C5" s="2" t="s">
        <v>18</v>
      </c>
      <c r="D5" s="2" t="s">
        <v>30</v>
      </c>
      <c r="E5" s="2" t="s">
        <v>31</v>
      </c>
      <c r="F5" s="2" t="s">
        <v>13</v>
      </c>
      <c r="G5" s="2" t="s">
        <v>32</v>
      </c>
      <c r="H5" s="2" t="s">
        <v>33</v>
      </c>
    </row>
    <row r="6" customFormat="false" ht="23.8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11</v>
      </c>
      <c r="E6" s="2" t="s">
        <v>31</v>
      </c>
      <c r="F6" s="2" t="s">
        <v>37</v>
      </c>
      <c r="G6" s="2" t="s">
        <v>38</v>
      </c>
      <c r="H6" s="2" t="s">
        <v>39</v>
      </c>
    </row>
    <row r="7" customFormat="false" ht="23.85" hidden="false" customHeight="false" outlineLevel="0" collapsed="false">
      <c r="A7" s="2" t="s">
        <v>40</v>
      </c>
      <c r="B7" s="2" t="s">
        <v>41</v>
      </c>
      <c r="C7" s="2" t="s">
        <v>36</v>
      </c>
      <c r="D7" s="2" t="s">
        <v>30</v>
      </c>
      <c r="E7" s="2" t="s">
        <v>12</v>
      </c>
      <c r="F7" s="2" t="s">
        <v>13</v>
      </c>
      <c r="G7" s="2" t="s">
        <v>38</v>
      </c>
      <c r="H7" s="2" t="s">
        <v>39</v>
      </c>
    </row>
    <row r="8" customFormat="false" ht="23.85" hidden="false" customHeight="false" outlineLevel="0" collapsed="false">
      <c r="A8" s="2" t="s">
        <v>42</v>
      </c>
      <c r="B8" s="2" t="s">
        <v>43</v>
      </c>
      <c r="C8" s="2" t="s">
        <v>18</v>
      </c>
      <c r="D8" s="2" t="s">
        <v>19</v>
      </c>
      <c r="E8" s="2" t="s">
        <v>20</v>
      </c>
      <c r="F8" s="2" t="s">
        <v>13</v>
      </c>
      <c r="G8" s="2" t="s">
        <v>32</v>
      </c>
      <c r="H8" s="2" t="s">
        <v>44</v>
      </c>
    </row>
    <row r="9" customFormat="false" ht="35.05" hidden="false" customHeight="false" outlineLevel="0" collapsed="false">
      <c r="A9" s="2" t="s">
        <v>45</v>
      </c>
      <c r="B9" s="2" t="s">
        <v>46</v>
      </c>
      <c r="C9" s="2" t="s">
        <v>18</v>
      </c>
      <c r="D9" s="2" t="s">
        <v>11</v>
      </c>
      <c r="E9" s="2" t="s">
        <v>12</v>
      </c>
      <c r="F9" s="2" t="s">
        <v>37</v>
      </c>
      <c r="G9" s="2" t="s">
        <v>32</v>
      </c>
      <c r="H9" s="2" t="s">
        <v>47</v>
      </c>
    </row>
    <row r="10" customFormat="false" ht="23.85" hidden="false" customHeight="false" outlineLevel="0" collapsed="false">
      <c r="A10" s="2" t="s">
        <v>48</v>
      </c>
      <c r="B10" s="2" t="s">
        <v>49</v>
      </c>
      <c r="C10" s="2" t="s">
        <v>18</v>
      </c>
      <c r="D10" s="2" t="s">
        <v>30</v>
      </c>
      <c r="E10" s="2" t="s">
        <v>12</v>
      </c>
      <c r="F10" s="2" t="s">
        <v>50</v>
      </c>
      <c r="G10" s="2" t="s">
        <v>32</v>
      </c>
      <c r="H10" s="2" t="s">
        <v>51</v>
      </c>
    </row>
    <row r="11" customFormat="false" ht="35.05" hidden="false" customHeight="false" outlineLevel="0" collapsed="false">
      <c r="A11" s="2" t="s">
        <v>52</v>
      </c>
      <c r="B11" s="2" t="s">
        <v>53</v>
      </c>
      <c r="C11" s="2" t="s">
        <v>18</v>
      </c>
      <c r="D11" s="2" t="s">
        <v>11</v>
      </c>
      <c r="E11" s="2" t="s">
        <v>20</v>
      </c>
      <c r="F11" s="2" t="s">
        <v>13</v>
      </c>
      <c r="G11" s="2" t="s">
        <v>32</v>
      </c>
      <c r="H11" s="2" t="s">
        <v>44</v>
      </c>
    </row>
    <row r="12" customFormat="false" ht="35.05" hidden="false" customHeight="false" outlineLevel="0" collapsed="false">
      <c r="A12" s="2" t="s">
        <v>54</v>
      </c>
      <c r="B12" s="2" t="s">
        <v>55</v>
      </c>
      <c r="C12" s="2" t="s">
        <v>18</v>
      </c>
      <c r="D12" s="2" t="s">
        <v>30</v>
      </c>
      <c r="E12" s="2" t="s">
        <v>20</v>
      </c>
      <c r="F12" s="2" t="s">
        <v>13</v>
      </c>
      <c r="G12" s="2" t="s">
        <v>56</v>
      </c>
      <c r="H12" s="2" t="s">
        <v>44</v>
      </c>
    </row>
    <row r="13" customFormat="false" ht="35.05" hidden="false" customHeight="false" outlineLevel="0" collapsed="false">
      <c r="A13" s="2" t="s">
        <v>57</v>
      </c>
      <c r="B13" s="2" t="s">
        <v>58</v>
      </c>
      <c r="C13" s="2" t="s">
        <v>18</v>
      </c>
      <c r="D13" s="2" t="s">
        <v>11</v>
      </c>
      <c r="E13" s="2" t="s">
        <v>31</v>
      </c>
      <c r="F13" s="2" t="s">
        <v>13</v>
      </c>
      <c r="G13" s="2" t="s">
        <v>32</v>
      </c>
      <c r="H13" s="2" t="s">
        <v>44</v>
      </c>
    </row>
    <row r="14" customFormat="false" ht="15" hidden="false" customHeight="false" outlineLevel="0" collapsed="false">
      <c r="A14" s="2" t="s">
        <v>59</v>
      </c>
      <c r="B14" s="2" t="s">
        <v>60</v>
      </c>
      <c r="C14" s="2" t="s">
        <v>18</v>
      </c>
      <c r="D14" s="2" t="s">
        <v>11</v>
      </c>
      <c r="E14" s="2" t="s">
        <v>12</v>
      </c>
      <c r="F14" s="2" t="s">
        <v>13</v>
      </c>
      <c r="G14" s="2" t="s">
        <v>61</v>
      </c>
      <c r="H14" s="2" t="s">
        <v>44</v>
      </c>
    </row>
    <row r="15" customFormat="false" ht="35.05" hidden="false" customHeight="false" outlineLevel="0" collapsed="false">
      <c r="A15" s="2" t="s">
        <v>62</v>
      </c>
      <c r="B15" s="2" t="s">
        <v>63</v>
      </c>
      <c r="C15" s="2" t="s">
        <v>18</v>
      </c>
      <c r="D15" s="2" t="s">
        <v>11</v>
      </c>
      <c r="E15" s="2" t="s">
        <v>12</v>
      </c>
      <c r="F15" s="2" t="s">
        <v>25</v>
      </c>
      <c r="G15" s="2" t="s">
        <v>64</v>
      </c>
      <c r="H15" s="2" t="s">
        <v>65</v>
      </c>
    </row>
    <row r="16" customFormat="false" ht="23.85" hidden="false" customHeight="false" outlineLevel="0" collapsed="false">
      <c r="A16" s="2" t="s">
        <v>66</v>
      </c>
      <c r="B16" s="2" t="s">
        <v>67</v>
      </c>
      <c r="C16" s="2" t="s">
        <v>10</v>
      </c>
      <c r="D16" s="2" t="s">
        <v>30</v>
      </c>
      <c r="E16" s="2" t="s">
        <v>12</v>
      </c>
      <c r="F16" s="2" t="s">
        <v>13</v>
      </c>
      <c r="G16" s="2" t="s">
        <v>68</v>
      </c>
      <c r="H16" s="2" t="s">
        <v>39</v>
      </c>
    </row>
    <row r="17" customFormat="false" ht="23.85" hidden="false" customHeight="false" outlineLevel="0" collapsed="false">
      <c r="A17" s="2" t="s">
        <v>69</v>
      </c>
      <c r="B17" s="2" t="s">
        <v>70</v>
      </c>
      <c r="C17" s="2" t="s">
        <v>10</v>
      </c>
      <c r="D17" s="2" t="s">
        <v>11</v>
      </c>
      <c r="E17" s="2" t="s">
        <v>20</v>
      </c>
      <c r="F17" s="2" t="s">
        <v>13</v>
      </c>
      <c r="G17" s="2" t="s">
        <v>14</v>
      </c>
      <c r="H17" s="2" t="s">
        <v>15</v>
      </c>
    </row>
    <row r="18" customFormat="false" ht="35.05" hidden="false" customHeight="false" outlineLevel="0" collapsed="false">
      <c r="A18" s="2" t="s">
        <v>71</v>
      </c>
      <c r="B18" s="2" t="s">
        <v>72</v>
      </c>
      <c r="C18" s="2" t="s">
        <v>18</v>
      </c>
      <c r="D18" s="2" t="s">
        <v>30</v>
      </c>
      <c r="E18" s="2" t="s">
        <v>20</v>
      </c>
      <c r="F18" s="2" t="s">
        <v>50</v>
      </c>
      <c r="G18" s="2" t="s">
        <v>32</v>
      </c>
      <c r="H18" s="2" t="s">
        <v>73</v>
      </c>
    </row>
    <row r="19" customFormat="false" ht="23.85" hidden="false" customHeight="false" outlineLevel="0" collapsed="false">
      <c r="A19" s="2" t="s">
        <v>74</v>
      </c>
      <c r="B19" s="2" t="s">
        <v>75</v>
      </c>
      <c r="C19" s="2" t="s">
        <v>18</v>
      </c>
      <c r="D19" s="2" t="s">
        <v>19</v>
      </c>
      <c r="E19" s="2" t="s">
        <v>12</v>
      </c>
      <c r="F19" s="2" t="s">
        <v>37</v>
      </c>
      <c r="G19" s="2" t="s">
        <v>76</v>
      </c>
      <c r="H19" s="2" t="s">
        <v>33</v>
      </c>
    </row>
    <row r="20" customFormat="false" ht="23.85" hidden="false" customHeight="false" outlineLevel="0" collapsed="false">
      <c r="A20" s="2" t="s">
        <v>77</v>
      </c>
      <c r="B20" s="2" t="s">
        <v>78</v>
      </c>
      <c r="C20" s="2" t="s">
        <v>18</v>
      </c>
      <c r="D20" s="2" t="s">
        <v>19</v>
      </c>
      <c r="E20" s="2" t="s">
        <v>12</v>
      </c>
      <c r="F20" s="2" t="s">
        <v>25</v>
      </c>
      <c r="G20" s="2" t="s">
        <v>76</v>
      </c>
      <c r="H20" s="2" t="s">
        <v>22</v>
      </c>
    </row>
    <row r="21" customFormat="false" ht="23.85" hidden="false" customHeight="false" outlineLevel="0" collapsed="false">
      <c r="A21" s="2" t="s">
        <v>79</v>
      </c>
      <c r="B21" s="2" t="s">
        <v>80</v>
      </c>
      <c r="C21" s="2" t="s">
        <v>18</v>
      </c>
      <c r="D21" s="2" t="s">
        <v>30</v>
      </c>
      <c r="E21" s="2" t="s">
        <v>20</v>
      </c>
      <c r="F21" s="2" t="s">
        <v>81</v>
      </c>
      <c r="G21" s="2" t="s">
        <v>32</v>
      </c>
      <c r="H21" s="2" t="s">
        <v>44</v>
      </c>
    </row>
    <row r="22" customFormat="false" ht="35.05" hidden="false" customHeight="false" outlineLevel="0" collapsed="false">
      <c r="A22" s="2" t="s">
        <v>82</v>
      </c>
      <c r="B22" s="2" t="s">
        <v>83</v>
      </c>
      <c r="C22" s="2" t="s">
        <v>10</v>
      </c>
      <c r="D22" s="2" t="s">
        <v>19</v>
      </c>
      <c r="E22" s="2" t="s">
        <v>20</v>
      </c>
      <c r="F22" s="2" t="s">
        <v>13</v>
      </c>
      <c r="G22" s="2" t="s">
        <v>68</v>
      </c>
      <c r="H22" s="2" t="s">
        <v>39</v>
      </c>
    </row>
    <row r="23" customFormat="false" ht="35.05" hidden="false" customHeight="false" outlineLevel="0" collapsed="false">
      <c r="A23" s="2" t="s">
        <v>84</v>
      </c>
      <c r="B23" s="2" t="s">
        <v>85</v>
      </c>
      <c r="C23" s="2" t="s">
        <v>18</v>
      </c>
      <c r="D23" s="2" t="s">
        <v>19</v>
      </c>
      <c r="E23" s="2" t="s">
        <v>12</v>
      </c>
      <c r="F23" s="2" t="s">
        <v>25</v>
      </c>
      <c r="G23" s="2" t="s">
        <v>86</v>
      </c>
      <c r="H23" s="2" t="s">
        <v>87</v>
      </c>
    </row>
    <row r="24" customFormat="false" ht="23.85" hidden="false" customHeight="false" outlineLevel="0" collapsed="false">
      <c r="A24" s="2" t="s">
        <v>88</v>
      </c>
      <c r="B24" s="2" t="s">
        <v>89</v>
      </c>
      <c r="C24" s="2" t="s">
        <v>18</v>
      </c>
      <c r="D24" s="2" t="s">
        <v>19</v>
      </c>
      <c r="E24" s="2" t="s">
        <v>20</v>
      </c>
      <c r="F24" s="2" t="s">
        <v>13</v>
      </c>
      <c r="G24" s="2" t="s">
        <v>76</v>
      </c>
      <c r="H24" s="2" t="s">
        <v>44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10</v>
      </c>
      <c r="D25" s="2" t="s">
        <v>19</v>
      </c>
      <c r="E25" s="2" t="s">
        <v>12</v>
      </c>
      <c r="F25" s="2" t="s">
        <v>13</v>
      </c>
      <c r="G25" s="2" t="s">
        <v>14</v>
      </c>
      <c r="H25" s="2" t="s">
        <v>33</v>
      </c>
    </row>
    <row r="26" customFormat="false" ht="23.85" hidden="false" customHeight="false" outlineLevel="0" collapsed="false">
      <c r="A26" s="2" t="s">
        <v>92</v>
      </c>
      <c r="B26" s="2" t="s">
        <v>93</v>
      </c>
      <c r="C26" s="2" t="s">
        <v>18</v>
      </c>
      <c r="D26" s="2" t="s">
        <v>11</v>
      </c>
      <c r="E26" s="2" t="s">
        <v>20</v>
      </c>
      <c r="F26" s="2" t="s">
        <v>13</v>
      </c>
      <c r="G26" s="2" t="s">
        <v>32</v>
      </c>
      <c r="H26" s="2" t="s">
        <v>44</v>
      </c>
    </row>
    <row r="27" customFormat="false" ht="23.85" hidden="false" customHeight="false" outlineLevel="0" collapsed="false">
      <c r="A27" s="2" t="s">
        <v>94</v>
      </c>
      <c r="B27" s="2" t="s">
        <v>95</v>
      </c>
      <c r="C27" s="2" t="s">
        <v>18</v>
      </c>
      <c r="D27" s="2" t="s">
        <v>11</v>
      </c>
      <c r="E27" s="2" t="s">
        <v>12</v>
      </c>
      <c r="F27" s="2" t="s">
        <v>96</v>
      </c>
      <c r="G27" s="2" t="s">
        <v>56</v>
      </c>
      <c r="H27" s="2" t="s">
        <v>44</v>
      </c>
    </row>
    <row r="28" customFormat="false" ht="23.85" hidden="false" customHeight="false" outlineLevel="0" collapsed="false">
      <c r="A28" s="2" t="s">
        <v>97</v>
      </c>
      <c r="B28" s="2" t="s">
        <v>98</v>
      </c>
      <c r="C28" s="2" t="s">
        <v>18</v>
      </c>
      <c r="D28" s="2" t="s">
        <v>11</v>
      </c>
      <c r="E28" s="2" t="s">
        <v>12</v>
      </c>
      <c r="F28" s="2" t="s">
        <v>50</v>
      </c>
      <c r="G28" s="2" t="s">
        <v>64</v>
      </c>
      <c r="H28" s="2" t="s">
        <v>87</v>
      </c>
    </row>
    <row r="29" customFormat="false" ht="23.85" hidden="false" customHeight="false" outlineLevel="0" collapsed="false">
      <c r="A29" s="2" t="s">
        <v>99</v>
      </c>
      <c r="B29" s="2" t="s">
        <v>100</v>
      </c>
      <c r="C29" s="2" t="s">
        <v>18</v>
      </c>
      <c r="D29" s="2" t="s">
        <v>30</v>
      </c>
      <c r="E29" s="2" t="s">
        <v>31</v>
      </c>
      <c r="F29" s="2" t="s">
        <v>37</v>
      </c>
      <c r="G29" s="2" t="s">
        <v>56</v>
      </c>
      <c r="H29" s="2" t="s">
        <v>73</v>
      </c>
    </row>
    <row r="30" customFormat="false" ht="23.85" hidden="false" customHeight="false" outlineLevel="0" collapsed="false">
      <c r="A30" s="2" t="s">
        <v>101</v>
      </c>
      <c r="B30" s="2" t="s">
        <v>102</v>
      </c>
      <c r="C30" s="2" t="s">
        <v>18</v>
      </c>
      <c r="D30" s="2" t="s">
        <v>30</v>
      </c>
      <c r="E30" s="2" t="s">
        <v>12</v>
      </c>
      <c r="F30" s="2" t="s">
        <v>37</v>
      </c>
      <c r="G30" s="2" t="s">
        <v>32</v>
      </c>
      <c r="H30" s="2" t="s">
        <v>73</v>
      </c>
    </row>
    <row r="31" customFormat="false" ht="23.85" hidden="false" customHeight="false" outlineLevel="0" collapsed="false">
      <c r="A31" s="2" t="s">
        <v>103</v>
      </c>
      <c r="B31" s="2" t="s">
        <v>104</v>
      </c>
      <c r="C31" s="2" t="s">
        <v>18</v>
      </c>
      <c r="D31" s="2" t="s">
        <v>30</v>
      </c>
      <c r="E31" s="2" t="s">
        <v>12</v>
      </c>
      <c r="F31" s="2" t="s">
        <v>25</v>
      </c>
      <c r="G31" s="2" t="s">
        <v>105</v>
      </c>
      <c r="H31" s="2" t="s">
        <v>39</v>
      </c>
    </row>
    <row r="32" customFormat="false" ht="35.05" hidden="false" customHeight="false" outlineLevel="0" collapsed="false">
      <c r="A32" s="2" t="s">
        <v>106</v>
      </c>
      <c r="B32" s="2" t="s">
        <v>107</v>
      </c>
      <c r="C32" s="2" t="s">
        <v>18</v>
      </c>
      <c r="D32" s="2" t="s">
        <v>30</v>
      </c>
      <c r="E32" s="2" t="s">
        <v>20</v>
      </c>
      <c r="F32" s="2" t="s">
        <v>13</v>
      </c>
      <c r="G32" s="2" t="s">
        <v>56</v>
      </c>
      <c r="H32" s="2" t="s">
        <v>47</v>
      </c>
    </row>
    <row r="33" customFormat="false" ht="23.85" hidden="false" customHeight="false" outlineLevel="0" collapsed="false">
      <c r="A33" s="2" t="s">
        <v>108</v>
      </c>
      <c r="B33" s="2" t="s">
        <v>109</v>
      </c>
      <c r="C33" s="2" t="s">
        <v>10</v>
      </c>
      <c r="D33" s="2" t="s">
        <v>19</v>
      </c>
      <c r="E33" s="2" t="s">
        <v>20</v>
      </c>
      <c r="F33" s="2" t="s">
        <v>13</v>
      </c>
      <c r="G33" s="2" t="s">
        <v>14</v>
      </c>
      <c r="H33" s="2" t="s">
        <v>15</v>
      </c>
    </row>
    <row r="34" customFormat="false" ht="23.85" hidden="false" customHeight="false" outlineLevel="0" collapsed="false">
      <c r="A34" s="2" t="s">
        <v>110</v>
      </c>
      <c r="B34" s="2" t="s">
        <v>111</v>
      </c>
      <c r="C34" s="2" t="s">
        <v>112</v>
      </c>
      <c r="D34" s="2" t="s">
        <v>19</v>
      </c>
      <c r="E34" s="2" t="s">
        <v>20</v>
      </c>
      <c r="F34" s="2" t="s">
        <v>13</v>
      </c>
      <c r="G34" s="2" t="s">
        <v>113</v>
      </c>
      <c r="H34" s="2" t="s">
        <v>22</v>
      </c>
    </row>
    <row r="35" customFormat="false" ht="23.85" hidden="false" customHeight="false" outlineLevel="0" collapsed="false">
      <c r="A35" s="2" t="s">
        <v>114</v>
      </c>
      <c r="B35" s="2" t="s">
        <v>115</v>
      </c>
      <c r="C35" s="2" t="s">
        <v>10</v>
      </c>
      <c r="D35" s="2" t="s">
        <v>19</v>
      </c>
      <c r="E35" s="2" t="s">
        <v>20</v>
      </c>
      <c r="F35" s="2" t="s">
        <v>13</v>
      </c>
      <c r="G35" s="2" t="s">
        <v>116</v>
      </c>
      <c r="H35" s="2" t="s">
        <v>15</v>
      </c>
    </row>
    <row r="36" customFormat="false" ht="23.85" hidden="false" customHeight="false" outlineLevel="0" collapsed="false">
      <c r="A36" s="2" t="s">
        <v>117</v>
      </c>
      <c r="B36" s="2" t="s">
        <v>118</v>
      </c>
      <c r="C36" s="2" t="s">
        <v>18</v>
      </c>
      <c r="D36" s="2" t="s">
        <v>30</v>
      </c>
      <c r="E36" s="2" t="s">
        <v>20</v>
      </c>
      <c r="F36" s="2" t="s">
        <v>50</v>
      </c>
      <c r="G36" s="2" t="s">
        <v>32</v>
      </c>
      <c r="H36" s="2" t="s">
        <v>44</v>
      </c>
    </row>
    <row r="37" customFormat="false" ht="46.25" hidden="false" customHeight="false" outlineLevel="0" collapsed="false">
      <c r="A37" s="2" t="s">
        <v>119</v>
      </c>
      <c r="B37" s="2" t="s">
        <v>120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14</v>
      </c>
      <c r="H37" s="2" t="s">
        <v>65</v>
      </c>
    </row>
    <row r="38" customFormat="false" ht="23.85" hidden="false" customHeight="false" outlineLevel="0" collapsed="false">
      <c r="A38" s="2" t="s">
        <v>121</v>
      </c>
      <c r="B38" s="2" t="s">
        <v>122</v>
      </c>
      <c r="C38" s="2" t="s">
        <v>10</v>
      </c>
      <c r="D38" s="2" t="s">
        <v>19</v>
      </c>
      <c r="E38" s="2" t="s">
        <v>20</v>
      </c>
      <c r="F38" s="2" t="s">
        <v>13</v>
      </c>
      <c r="G38" s="2" t="s">
        <v>123</v>
      </c>
      <c r="H38" s="2" t="s">
        <v>15</v>
      </c>
    </row>
    <row r="39" customFormat="false" ht="35.05" hidden="false" customHeight="false" outlineLevel="0" collapsed="false">
      <c r="A39" s="2" t="s">
        <v>124</v>
      </c>
      <c r="B39" s="2" t="s">
        <v>125</v>
      </c>
      <c r="C39" s="2" t="s">
        <v>18</v>
      </c>
      <c r="D39" s="2" t="s">
        <v>126</v>
      </c>
      <c r="E39" s="2" t="s">
        <v>12</v>
      </c>
      <c r="F39" s="2" t="s">
        <v>96</v>
      </c>
      <c r="G39" s="2" t="s">
        <v>32</v>
      </c>
      <c r="H39" s="2" t="s">
        <v>51</v>
      </c>
    </row>
    <row r="40" customFormat="false" ht="46.25" hidden="false" customHeight="false" outlineLevel="0" collapsed="false">
      <c r="A40" s="2" t="s">
        <v>127</v>
      </c>
      <c r="B40" s="2" t="s">
        <v>128</v>
      </c>
      <c r="C40" s="2" t="s">
        <v>18</v>
      </c>
      <c r="D40" s="2" t="s">
        <v>19</v>
      </c>
      <c r="E40" s="2" t="s">
        <v>31</v>
      </c>
      <c r="F40" s="2" t="s">
        <v>13</v>
      </c>
      <c r="G40" s="2" t="s">
        <v>32</v>
      </c>
      <c r="H40" s="2" t="s">
        <v>15</v>
      </c>
    </row>
    <row r="41" customFormat="false" ht="35.05" hidden="false" customHeight="false" outlineLevel="0" collapsed="false">
      <c r="A41" s="2" t="s">
        <v>129</v>
      </c>
      <c r="B41" s="2" t="s">
        <v>130</v>
      </c>
      <c r="C41" s="2" t="s">
        <v>10</v>
      </c>
      <c r="D41" s="2" t="s">
        <v>11</v>
      </c>
      <c r="E41" s="2" t="s">
        <v>12</v>
      </c>
      <c r="F41" s="2" t="s">
        <v>131</v>
      </c>
      <c r="G41" s="2" t="s">
        <v>68</v>
      </c>
      <c r="H41" s="2" t="s">
        <v>39</v>
      </c>
    </row>
    <row r="42" customFormat="false" ht="23.85" hidden="false" customHeight="false" outlineLevel="0" collapsed="false">
      <c r="A42" s="2" t="s">
        <v>132</v>
      </c>
      <c r="B42" s="2" t="s">
        <v>133</v>
      </c>
      <c r="C42" s="2" t="s">
        <v>18</v>
      </c>
      <c r="D42" s="2" t="s">
        <v>30</v>
      </c>
      <c r="E42" s="2" t="s">
        <v>12</v>
      </c>
      <c r="F42" s="2" t="s">
        <v>13</v>
      </c>
      <c r="G42" s="2" t="s">
        <v>105</v>
      </c>
      <c r="H42" s="2" t="s">
        <v>39</v>
      </c>
    </row>
    <row r="43" customFormat="false" ht="23.85" hidden="false" customHeight="false" outlineLevel="0" collapsed="false">
      <c r="A43" s="2" t="s">
        <v>134</v>
      </c>
      <c r="B43" s="2" t="s">
        <v>135</v>
      </c>
      <c r="C43" s="2" t="s">
        <v>18</v>
      </c>
      <c r="D43" s="2" t="s">
        <v>30</v>
      </c>
      <c r="E43" s="2" t="s">
        <v>31</v>
      </c>
      <c r="F43" s="2" t="s">
        <v>13</v>
      </c>
      <c r="G43" s="2" t="s">
        <v>32</v>
      </c>
      <c r="H43" s="2" t="s">
        <v>44</v>
      </c>
    </row>
    <row r="44" customFormat="false" ht="35.05" hidden="false" customHeight="false" outlineLevel="0" collapsed="false">
      <c r="A44" s="2" t="s">
        <v>136</v>
      </c>
      <c r="B44" s="2" t="s">
        <v>137</v>
      </c>
      <c r="C44" s="2" t="s">
        <v>18</v>
      </c>
      <c r="D44" s="2" t="s">
        <v>19</v>
      </c>
      <c r="E44" s="2" t="s">
        <v>20</v>
      </c>
      <c r="F44" s="2" t="s">
        <v>13</v>
      </c>
      <c r="G44" s="2" t="s">
        <v>76</v>
      </c>
      <c r="H44" s="2" t="s">
        <v>44</v>
      </c>
    </row>
    <row r="45" customFormat="false" ht="23.85" hidden="false" customHeight="false" outlineLevel="0" collapsed="false">
      <c r="A45" s="2" t="s">
        <v>138</v>
      </c>
      <c r="B45" s="2" t="s">
        <v>139</v>
      </c>
      <c r="C45" s="2" t="s">
        <v>18</v>
      </c>
      <c r="D45" s="2" t="s">
        <v>11</v>
      </c>
      <c r="E45" s="2" t="s">
        <v>20</v>
      </c>
      <c r="F45" s="2" t="s">
        <v>13</v>
      </c>
      <c r="G45" s="2" t="s">
        <v>32</v>
      </c>
      <c r="H45" s="2" t="s">
        <v>44</v>
      </c>
    </row>
    <row r="46" customFormat="false" ht="23.85" hidden="false" customHeight="false" outlineLevel="0" collapsed="false">
      <c r="A46" s="2" t="s">
        <v>140</v>
      </c>
      <c r="B46" s="2" t="s">
        <v>141</v>
      </c>
      <c r="C46" s="2" t="s">
        <v>10</v>
      </c>
      <c r="D46" s="2" t="s">
        <v>19</v>
      </c>
      <c r="E46" s="2" t="s">
        <v>20</v>
      </c>
      <c r="F46" s="2" t="s">
        <v>96</v>
      </c>
      <c r="G46" s="2" t="s">
        <v>142</v>
      </c>
      <c r="H46" s="2" t="s">
        <v>15</v>
      </c>
    </row>
    <row r="47" customFormat="false" ht="23.85" hidden="false" customHeight="false" outlineLevel="0" collapsed="false">
      <c r="A47" s="2" t="s">
        <v>143</v>
      </c>
      <c r="B47" s="2" t="s">
        <v>144</v>
      </c>
      <c r="C47" s="2" t="s">
        <v>18</v>
      </c>
      <c r="D47" s="2" t="s">
        <v>30</v>
      </c>
      <c r="E47" s="2" t="s">
        <v>31</v>
      </c>
      <c r="F47" s="2" t="s">
        <v>13</v>
      </c>
      <c r="G47" s="2" t="s">
        <v>32</v>
      </c>
      <c r="H47" s="2" t="s">
        <v>44</v>
      </c>
    </row>
    <row r="48" customFormat="false" ht="23.85" hidden="false" customHeight="false" outlineLevel="0" collapsed="false">
      <c r="A48" s="2" t="s">
        <v>145</v>
      </c>
      <c r="B48" s="2" t="s">
        <v>146</v>
      </c>
      <c r="C48" s="2" t="s">
        <v>10</v>
      </c>
      <c r="D48" s="2" t="s">
        <v>30</v>
      </c>
      <c r="E48" s="2" t="s">
        <v>12</v>
      </c>
      <c r="F48" s="2" t="s">
        <v>25</v>
      </c>
      <c r="G48" s="2" t="s">
        <v>26</v>
      </c>
      <c r="H48" s="2" t="s">
        <v>87</v>
      </c>
    </row>
    <row r="49" customFormat="false" ht="23.85" hidden="false" customHeight="false" outlineLevel="0" collapsed="false">
      <c r="A49" s="2" t="s">
        <v>147</v>
      </c>
      <c r="B49" s="2" t="s">
        <v>148</v>
      </c>
      <c r="C49" s="2" t="s">
        <v>18</v>
      </c>
      <c r="D49" s="2" t="s">
        <v>11</v>
      </c>
      <c r="E49" s="2" t="s">
        <v>20</v>
      </c>
      <c r="F49" s="2" t="s">
        <v>13</v>
      </c>
      <c r="G49" s="2" t="s">
        <v>149</v>
      </c>
      <c r="H49" s="2" t="s">
        <v>44</v>
      </c>
    </row>
    <row r="50" customFormat="false" ht="23.85" hidden="false" customHeight="false" outlineLevel="0" collapsed="false">
      <c r="A50" s="2" t="s">
        <v>150</v>
      </c>
      <c r="B50" s="2" t="s">
        <v>151</v>
      </c>
      <c r="C50" s="2" t="s">
        <v>10</v>
      </c>
      <c r="D50" s="2" t="s">
        <v>19</v>
      </c>
      <c r="E50" s="2" t="s">
        <v>20</v>
      </c>
      <c r="F50" s="2" t="s">
        <v>13</v>
      </c>
      <c r="G50" s="2" t="s">
        <v>14</v>
      </c>
      <c r="H50" s="2" t="s">
        <v>15</v>
      </c>
    </row>
    <row r="51" customFormat="false" ht="23.85" hidden="false" customHeight="false" outlineLevel="0" collapsed="false">
      <c r="A51" s="2" t="s">
        <v>152</v>
      </c>
      <c r="B51" s="2" t="s">
        <v>153</v>
      </c>
      <c r="C51" s="2" t="s">
        <v>18</v>
      </c>
      <c r="D51" s="2" t="s">
        <v>19</v>
      </c>
      <c r="E51" s="2" t="s">
        <v>12</v>
      </c>
      <c r="F51" s="2" t="s">
        <v>37</v>
      </c>
      <c r="G51" s="2" t="s">
        <v>56</v>
      </c>
      <c r="H51" s="2" t="s">
        <v>39</v>
      </c>
    </row>
    <row r="52" customFormat="false" ht="23.85" hidden="false" customHeight="false" outlineLevel="0" collapsed="false">
      <c r="A52" s="2" t="s">
        <v>154</v>
      </c>
      <c r="B52" s="2" t="s">
        <v>155</v>
      </c>
      <c r="C52" s="2" t="s">
        <v>18</v>
      </c>
      <c r="D52" s="2" t="s">
        <v>11</v>
      </c>
      <c r="E52" s="2" t="s">
        <v>20</v>
      </c>
      <c r="F52" s="2" t="s">
        <v>156</v>
      </c>
      <c r="G52" s="2" t="s">
        <v>61</v>
      </c>
      <c r="H52" s="2" t="s">
        <v>44</v>
      </c>
    </row>
    <row r="53" customFormat="false" ht="23.85" hidden="false" customHeight="false" outlineLevel="0" collapsed="false">
      <c r="A53" s="2" t="s">
        <v>157</v>
      </c>
      <c r="B53" s="2" t="s">
        <v>158</v>
      </c>
      <c r="C53" s="2" t="s">
        <v>18</v>
      </c>
      <c r="D53" s="2" t="s">
        <v>30</v>
      </c>
      <c r="E53" s="2" t="s">
        <v>12</v>
      </c>
      <c r="F53" s="2" t="s">
        <v>50</v>
      </c>
      <c r="G53" s="2" t="s">
        <v>32</v>
      </c>
      <c r="H53" s="2" t="s">
        <v>73</v>
      </c>
    </row>
    <row r="54" customFormat="false" ht="23.85" hidden="false" customHeight="false" outlineLevel="0" collapsed="false">
      <c r="A54" s="2" t="s">
        <v>159</v>
      </c>
      <c r="B54" s="2" t="s">
        <v>160</v>
      </c>
      <c r="C54" s="2" t="s">
        <v>18</v>
      </c>
      <c r="D54" s="2" t="s">
        <v>19</v>
      </c>
      <c r="E54" s="2" t="s">
        <v>20</v>
      </c>
      <c r="F54" s="2" t="s">
        <v>161</v>
      </c>
      <c r="G54" s="2" t="s">
        <v>105</v>
      </c>
      <c r="H54" s="2" t="s">
        <v>39</v>
      </c>
    </row>
    <row r="55" customFormat="false" ht="46.25" hidden="false" customHeight="false" outlineLevel="0" collapsed="false">
      <c r="A55" s="2" t="s">
        <v>162</v>
      </c>
      <c r="B55" s="2" t="s">
        <v>163</v>
      </c>
      <c r="C55" s="2" t="s">
        <v>18</v>
      </c>
      <c r="D55" s="2" t="s">
        <v>30</v>
      </c>
      <c r="E55" s="2" t="s">
        <v>12</v>
      </c>
      <c r="F55" s="2" t="s">
        <v>13</v>
      </c>
      <c r="G55" s="2" t="s">
        <v>32</v>
      </c>
      <c r="H55" s="2" t="s">
        <v>47</v>
      </c>
    </row>
    <row r="56" customFormat="false" ht="23.85" hidden="false" customHeight="false" outlineLevel="0" collapsed="false">
      <c r="A56" s="2" t="s">
        <v>164</v>
      </c>
      <c r="B56" s="2" t="s">
        <v>165</v>
      </c>
      <c r="C56" s="2" t="s">
        <v>18</v>
      </c>
      <c r="D56" s="2" t="s">
        <v>30</v>
      </c>
      <c r="E56" s="2" t="s">
        <v>12</v>
      </c>
      <c r="F56" s="2" t="s">
        <v>25</v>
      </c>
      <c r="G56" s="2" t="s">
        <v>32</v>
      </c>
      <c r="H56" s="2" t="s">
        <v>73</v>
      </c>
    </row>
    <row r="57" customFormat="false" ht="23.85" hidden="false" customHeight="false" outlineLevel="0" collapsed="false">
      <c r="A57" s="2" t="s">
        <v>166</v>
      </c>
      <c r="B57" s="2" t="s">
        <v>167</v>
      </c>
      <c r="C57" s="2" t="s">
        <v>18</v>
      </c>
      <c r="D57" s="2" t="s">
        <v>30</v>
      </c>
      <c r="E57" s="2" t="s">
        <v>20</v>
      </c>
      <c r="F57" s="2" t="s">
        <v>13</v>
      </c>
      <c r="G57" s="2" t="s">
        <v>32</v>
      </c>
      <c r="H57" s="2" t="s">
        <v>44</v>
      </c>
    </row>
    <row r="58" customFormat="false" ht="23.85" hidden="false" customHeight="false" outlineLevel="0" collapsed="false">
      <c r="A58" s="2" t="s">
        <v>168</v>
      </c>
      <c r="B58" s="2" t="s">
        <v>169</v>
      </c>
      <c r="C58" s="2" t="s">
        <v>18</v>
      </c>
      <c r="D58" s="2" t="s">
        <v>30</v>
      </c>
      <c r="E58" s="2" t="s">
        <v>12</v>
      </c>
      <c r="F58" s="2" t="s">
        <v>37</v>
      </c>
      <c r="G58" s="2" t="s">
        <v>32</v>
      </c>
      <c r="H58" s="2" t="s">
        <v>44</v>
      </c>
    </row>
    <row r="59" customFormat="false" ht="23.85" hidden="false" customHeight="false" outlineLevel="0" collapsed="false">
      <c r="A59" s="2" t="s">
        <v>170</v>
      </c>
      <c r="B59" s="2" t="s">
        <v>171</v>
      </c>
      <c r="C59" s="2" t="s">
        <v>18</v>
      </c>
      <c r="D59" s="2" t="s">
        <v>19</v>
      </c>
      <c r="E59" s="2" t="s">
        <v>31</v>
      </c>
      <c r="F59" s="2" t="s">
        <v>13</v>
      </c>
      <c r="G59" s="2" t="s">
        <v>32</v>
      </c>
      <c r="H59" s="2" t="s">
        <v>44</v>
      </c>
    </row>
    <row r="60" customFormat="false" ht="23.85" hidden="false" customHeight="false" outlineLevel="0" collapsed="false">
      <c r="A60" s="2" t="s">
        <v>172</v>
      </c>
      <c r="B60" s="2" t="s">
        <v>173</v>
      </c>
      <c r="C60" s="2" t="s">
        <v>18</v>
      </c>
      <c r="D60" s="2" t="s">
        <v>30</v>
      </c>
      <c r="E60" s="2" t="s">
        <v>20</v>
      </c>
      <c r="F60" s="2" t="s">
        <v>50</v>
      </c>
      <c r="G60" s="2" t="s">
        <v>32</v>
      </c>
      <c r="H60" s="2" t="s">
        <v>44</v>
      </c>
    </row>
    <row r="61" customFormat="false" ht="23.85" hidden="false" customHeight="false" outlineLevel="0" collapsed="false">
      <c r="A61" s="2" t="s">
        <v>174</v>
      </c>
      <c r="B61" s="2" t="s">
        <v>175</v>
      </c>
      <c r="C61" s="2" t="s">
        <v>10</v>
      </c>
      <c r="D61" s="2" t="s">
        <v>19</v>
      </c>
      <c r="E61" s="2" t="s">
        <v>20</v>
      </c>
      <c r="F61" s="2" t="s">
        <v>13</v>
      </c>
      <c r="G61" s="2" t="s">
        <v>14</v>
      </c>
      <c r="H61" s="2" t="s">
        <v>15</v>
      </c>
    </row>
    <row r="62" customFormat="false" ht="23.85" hidden="false" customHeight="false" outlineLevel="0" collapsed="false">
      <c r="A62" s="2" t="s">
        <v>176</v>
      </c>
      <c r="B62" s="2" t="s">
        <v>177</v>
      </c>
      <c r="C62" s="2" t="s">
        <v>18</v>
      </c>
      <c r="D62" s="2" t="s">
        <v>19</v>
      </c>
      <c r="E62" s="2" t="s">
        <v>20</v>
      </c>
      <c r="F62" s="2" t="s">
        <v>13</v>
      </c>
      <c r="G62" s="2" t="s">
        <v>32</v>
      </c>
      <c r="H62" s="2" t="s">
        <v>15</v>
      </c>
    </row>
    <row r="63" customFormat="false" ht="35.05" hidden="false" customHeight="false" outlineLevel="0" collapsed="false">
      <c r="A63" s="2" t="s">
        <v>178</v>
      </c>
      <c r="B63" s="2" t="s">
        <v>179</v>
      </c>
      <c r="C63" s="2" t="s">
        <v>10</v>
      </c>
      <c r="D63" s="2" t="s">
        <v>19</v>
      </c>
      <c r="E63" s="2" t="s">
        <v>20</v>
      </c>
      <c r="F63" s="2" t="s">
        <v>13</v>
      </c>
      <c r="G63" s="2" t="s">
        <v>180</v>
      </c>
      <c r="H63" s="2" t="s">
        <v>15</v>
      </c>
    </row>
    <row r="64" customFormat="false" ht="23.85" hidden="false" customHeight="false" outlineLevel="0" collapsed="false">
      <c r="A64" s="2" t="s">
        <v>181</v>
      </c>
      <c r="B64" s="2" t="s">
        <v>182</v>
      </c>
      <c r="C64" s="2" t="s">
        <v>36</v>
      </c>
      <c r="D64" s="2" t="s">
        <v>30</v>
      </c>
      <c r="E64" s="2" t="s">
        <v>12</v>
      </c>
      <c r="F64" s="2" t="s">
        <v>37</v>
      </c>
      <c r="G64" s="2" t="s">
        <v>38</v>
      </c>
      <c r="H64" s="2" t="s">
        <v>39</v>
      </c>
    </row>
    <row r="65" customFormat="false" ht="23.85" hidden="false" customHeight="false" outlineLevel="0" collapsed="false">
      <c r="A65" s="2" t="s">
        <v>183</v>
      </c>
      <c r="B65" s="2" t="s">
        <v>184</v>
      </c>
      <c r="C65" s="2" t="s">
        <v>10</v>
      </c>
      <c r="D65" s="2" t="s">
        <v>19</v>
      </c>
      <c r="E65" s="2" t="s">
        <v>20</v>
      </c>
      <c r="F65" s="2" t="s">
        <v>13</v>
      </c>
      <c r="G65" s="2" t="s">
        <v>185</v>
      </c>
      <c r="H65" s="2" t="s">
        <v>15</v>
      </c>
    </row>
    <row r="66" customFormat="false" ht="15" hidden="false" customHeight="false" outlineLevel="0" collapsed="false">
      <c r="A66" s="2" t="s">
        <v>186</v>
      </c>
      <c r="B66" s="2" t="s">
        <v>187</v>
      </c>
      <c r="C66" s="2" t="s">
        <v>10</v>
      </c>
      <c r="D66" s="2" t="s">
        <v>19</v>
      </c>
      <c r="E66" s="2" t="s">
        <v>12</v>
      </c>
      <c r="F66" s="2" t="s">
        <v>13</v>
      </c>
      <c r="G66" s="2" t="s">
        <v>142</v>
      </c>
      <c r="H66" s="2" t="s">
        <v>15</v>
      </c>
    </row>
    <row r="67" customFormat="false" ht="15" hidden="false" customHeight="false" outlineLevel="0" collapsed="false">
      <c r="A67" s="2" t="s">
        <v>188</v>
      </c>
      <c r="B67" s="2" t="s">
        <v>189</v>
      </c>
      <c r="C67" s="2" t="s">
        <v>10</v>
      </c>
      <c r="D67" s="2" t="s">
        <v>19</v>
      </c>
      <c r="E67" s="2" t="s">
        <v>12</v>
      </c>
      <c r="F67" s="2" t="s">
        <v>161</v>
      </c>
      <c r="G67" s="2" t="s">
        <v>14</v>
      </c>
      <c r="H67" s="2" t="s">
        <v>15</v>
      </c>
    </row>
    <row r="68" customFormat="false" ht="23.85" hidden="false" customHeight="false" outlineLevel="0" collapsed="false">
      <c r="A68" s="2" t="s">
        <v>190</v>
      </c>
      <c r="B68" s="2" t="s">
        <v>191</v>
      </c>
      <c r="C68" s="2" t="s">
        <v>18</v>
      </c>
      <c r="D68" s="2" t="s">
        <v>19</v>
      </c>
      <c r="E68" s="2" t="s">
        <v>20</v>
      </c>
      <c r="F68" s="2" t="s">
        <v>13</v>
      </c>
      <c r="G68" s="2" t="s">
        <v>32</v>
      </c>
      <c r="H68" s="2" t="s">
        <v>44</v>
      </c>
    </row>
    <row r="69" customFormat="false" ht="23.85" hidden="false" customHeight="false" outlineLevel="0" collapsed="false">
      <c r="A69" s="2" t="s">
        <v>192</v>
      </c>
      <c r="B69" s="2" t="s">
        <v>193</v>
      </c>
      <c r="C69" s="2" t="s">
        <v>18</v>
      </c>
      <c r="D69" s="2" t="s">
        <v>11</v>
      </c>
      <c r="E69" s="2" t="s">
        <v>20</v>
      </c>
      <c r="F69" s="2" t="s">
        <v>13</v>
      </c>
      <c r="G69" s="2" t="s">
        <v>149</v>
      </c>
      <c r="H69" s="2" t="s">
        <v>73</v>
      </c>
    </row>
    <row r="70" customFormat="false" ht="35.05" hidden="false" customHeight="false" outlineLevel="0" collapsed="false">
      <c r="A70" s="2" t="s">
        <v>194</v>
      </c>
      <c r="B70" s="2" t="s">
        <v>195</v>
      </c>
      <c r="C70" s="2" t="s">
        <v>18</v>
      </c>
      <c r="D70" s="2" t="s">
        <v>196</v>
      </c>
      <c r="E70" s="2" t="s">
        <v>20</v>
      </c>
      <c r="F70" s="2" t="s">
        <v>13</v>
      </c>
      <c r="G70" s="2" t="s">
        <v>149</v>
      </c>
      <c r="H70" s="2" t="s">
        <v>197</v>
      </c>
    </row>
    <row r="71" customFormat="false" ht="35.05" hidden="false" customHeight="false" outlineLevel="0" collapsed="false">
      <c r="A71" s="2" t="s">
        <v>198</v>
      </c>
      <c r="B71" s="2" t="s">
        <v>199</v>
      </c>
      <c r="C71" s="2" t="s">
        <v>10</v>
      </c>
      <c r="D71" s="2" t="s">
        <v>19</v>
      </c>
      <c r="E71" s="2" t="s">
        <v>20</v>
      </c>
      <c r="F71" s="2" t="s">
        <v>13</v>
      </c>
      <c r="G71" s="2" t="s">
        <v>14</v>
      </c>
      <c r="H71" s="2" t="s">
        <v>200</v>
      </c>
    </row>
    <row r="72" customFormat="false" ht="15" hidden="false" customHeight="false" outlineLevel="0" collapsed="false">
      <c r="A72" s="2" t="s">
        <v>201</v>
      </c>
      <c r="B72" s="2" t="s">
        <v>202</v>
      </c>
      <c r="C72" s="2" t="s">
        <v>18</v>
      </c>
      <c r="D72" s="2" t="s">
        <v>30</v>
      </c>
      <c r="E72" s="2" t="s">
        <v>12</v>
      </c>
      <c r="F72" s="2" t="s">
        <v>25</v>
      </c>
      <c r="G72" s="2" t="s">
        <v>32</v>
      </c>
      <c r="H72" s="2" t="s">
        <v>73</v>
      </c>
    </row>
    <row r="73" customFormat="false" ht="23.85" hidden="false" customHeight="false" outlineLevel="0" collapsed="false">
      <c r="A73" s="2" t="s">
        <v>203</v>
      </c>
      <c r="B73" s="2" t="s">
        <v>204</v>
      </c>
      <c r="C73" s="2" t="s">
        <v>18</v>
      </c>
      <c r="D73" s="2" t="s">
        <v>19</v>
      </c>
      <c r="E73" s="2" t="s">
        <v>20</v>
      </c>
      <c r="F73" s="2" t="s">
        <v>156</v>
      </c>
      <c r="G73" s="2" t="s">
        <v>32</v>
      </c>
      <c r="H73" s="2" t="s">
        <v>44</v>
      </c>
    </row>
    <row r="74" customFormat="false" ht="35.05" hidden="false" customHeight="false" outlineLevel="0" collapsed="false">
      <c r="A74" s="2" t="s">
        <v>205</v>
      </c>
      <c r="B74" s="2" t="s">
        <v>206</v>
      </c>
      <c r="C74" s="2" t="s">
        <v>18</v>
      </c>
      <c r="D74" s="2" t="s">
        <v>19</v>
      </c>
      <c r="E74" s="2" t="s">
        <v>20</v>
      </c>
      <c r="F74" s="2" t="s">
        <v>156</v>
      </c>
      <c r="G74" s="2" t="s">
        <v>56</v>
      </c>
      <c r="H74" s="2" t="s">
        <v>44</v>
      </c>
    </row>
    <row r="75" customFormat="false" ht="23.85" hidden="false" customHeight="false" outlineLevel="0" collapsed="false">
      <c r="A75" s="2" t="s">
        <v>207</v>
      </c>
      <c r="B75" s="2" t="s">
        <v>208</v>
      </c>
      <c r="C75" s="2" t="s">
        <v>36</v>
      </c>
      <c r="D75" s="2" t="s">
        <v>19</v>
      </c>
      <c r="E75" s="2" t="s">
        <v>20</v>
      </c>
      <c r="F75" s="2" t="s">
        <v>13</v>
      </c>
      <c r="G75" s="2" t="s">
        <v>38</v>
      </c>
      <c r="H75" s="2" t="s">
        <v>39</v>
      </c>
    </row>
    <row r="76" customFormat="false" ht="23.85" hidden="false" customHeight="false" outlineLevel="0" collapsed="false">
      <c r="A76" s="2" t="s">
        <v>209</v>
      </c>
      <c r="B76" s="2" t="s">
        <v>210</v>
      </c>
      <c r="C76" s="2" t="s">
        <v>18</v>
      </c>
      <c r="D76" s="2" t="s">
        <v>11</v>
      </c>
      <c r="E76" s="2" t="s">
        <v>20</v>
      </c>
      <c r="F76" s="2" t="s">
        <v>50</v>
      </c>
      <c r="G76" s="2" t="s">
        <v>32</v>
      </c>
      <c r="H76" s="2" t="s">
        <v>44</v>
      </c>
    </row>
    <row r="77" customFormat="false" ht="23.85" hidden="false" customHeight="false" outlineLevel="0" collapsed="false">
      <c r="A77" s="2" t="s">
        <v>211</v>
      </c>
      <c r="B77" s="2" t="s">
        <v>212</v>
      </c>
      <c r="C77" s="2" t="s">
        <v>18</v>
      </c>
      <c r="D77" s="2" t="s">
        <v>30</v>
      </c>
      <c r="E77" s="2" t="s">
        <v>31</v>
      </c>
      <c r="F77" s="2" t="s">
        <v>13</v>
      </c>
      <c r="G77" s="2" t="s">
        <v>105</v>
      </c>
      <c r="H77" s="2" t="s">
        <v>39</v>
      </c>
    </row>
    <row r="78" customFormat="false" ht="23.85" hidden="false" customHeight="false" outlineLevel="0" collapsed="false">
      <c r="A78" s="2" t="s">
        <v>213</v>
      </c>
      <c r="B78" s="2" t="s">
        <v>214</v>
      </c>
      <c r="C78" s="2" t="s">
        <v>18</v>
      </c>
      <c r="D78" s="2" t="s">
        <v>11</v>
      </c>
      <c r="E78" s="2" t="s">
        <v>12</v>
      </c>
      <c r="F78" s="2" t="s">
        <v>25</v>
      </c>
      <c r="G78" s="2" t="s">
        <v>215</v>
      </c>
      <c r="H78" s="2" t="s">
        <v>87</v>
      </c>
    </row>
    <row r="79" customFormat="false" ht="15" hidden="false" customHeight="false" outlineLevel="0" collapsed="false">
      <c r="A79" s="2" t="s">
        <v>216</v>
      </c>
      <c r="B79" s="2" t="s">
        <v>217</v>
      </c>
      <c r="C79" s="2" t="s">
        <v>18</v>
      </c>
      <c r="D79" s="2" t="s">
        <v>11</v>
      </c>
      <c r="E79" s="2" t="s">
        <v>12</v>
      </c>
      <c r="F79" s="2" t="s">
        <v>37</v>
      </c>
      <c r="G79" s="2" t="s">
        <v>218</v>
      </c>
      <c r="H79" s="2" t="s">
        <v>15</v>
      </c>
    </row>
    <row r="80" customFormat="false" ht="35.05" hidden="false" customHeight="false" outlineLevel="0" collapsed="false">
      <c r="A80" s="2" t="s">
        <v>219</v>
      </c>
      <c r="B80" s="2" t="s">
        <v>220</v>
      </c>
      <c r="C80" s="2" t="s">
        <v>18</v>
      </c>
      <c r="D80" s="2" t="s">
        <v>19</v>
      </c>
      <c r="E80" s="2" t="s">
        <v>20</v>
      </c>
      <c r="F80" s="2" t="s">
        <v>13</v>
      </c>
      <c r="G80" s="2" t="s">
        <v>32</v>
      </c>
      <c r="H80" s="2" t="s">
        <v>44</v>
      </c>
    </row>
    <row r="81" customFormat="false" ht="15" hidden="false" customHeight="false" outlineLevel="0" collapsed="false">
      <c r="A81" s="2" t="s">
        <v>221</v>
      </c>
      <c r="B81" s="2" t="s">
        <v>222</v>
      </c>
      <c r="C81" s="2" t="s">
        <v>10</v>
      </c>
      <c r="D81" s="2" t="s">
        <v>19</v>
      </c>
      <c r="E81" s="2" t="s">
        <v>12</v>
      </c>
      <c r="F81" s="2" t="s">
        <v>25</v>
      </c>
      <c r="G81" s="2" t="s">
        <v>68</v>
      </c>
      <c r="H81" s="2" t="s">
        <v>39</v>
      </c>
    </row>
    <row r="82" customFormat="false" ht="57.45" hidden="false" customHeight="false" outlineLevel="0" collapsed="false">
      <c r="A82" s="2" t="s">
        <v>223</v>
      </c>
      <c r="B82" s="2" t="s">
        <v>224</v>
      </c>
      <c r="C82" s="2" t="s">
        <v>36</v>
      </c>
      <c r="D82" s="2" t="s">
        <v>30</v>
      </c>
      <c r="E82" s="2" t="s">
        <v>12</v>
      </c>
      <c r="F82" s="2" t="s">
        <v>25</v>
      </c>
      <c r="G82" s="2" t="s">
        <v>38</v>
      </c>
      <c r="H82" s="2" t="s">
        <v>39</v>
      </c>
    </row>
    <row r="83" customFormat="false" ht="35.05" hidden="false" customHeight="false" outlineLevel="0" collapsed="false">
      <c r="A83" s="2" t="s">
        <v>225</v>
      </c>
      <c r="B83" s="2" t="s">
        <v>226</v>
      </c>
      <c r="C83" s="2" t="s">
        <v>18</v>
      </c>
      <c r="D83" s="2" t="s">
        <v>11</v>
      </c>
      <c r="E83" s="2" t="s">
        <v>20</v>
      </c>
      <c r="F83" s="2" t="s">
        <v>50</v>
      </c>
      <c r="G83" s="2" t="s">
        <v>32</v>
      </c>
      <c r="H83" s="2" t="s">
        <v>227</v>
      </c>
    </row>
    <row r="84" customFormat="false" ht="23.85" hidden="false" customHeight="false" outlineLevel="0" collapsed="false">
      <c r="A84" s="2" t="s">
        <v>228</v>
      </c>
      <c r="B84" s="2" t="s">
        <v>229</v>
      </c>
      <c r="C84" s="2" t="s">
        <v>18</v>
      </c>
      <c r="D84" s="2" t="s">
        <v>11</v>
      </c>
      <c r="E84" s="2" t="s">
        <v>20</v>
      </c>
      <c r="F84" s="2" t="s">
        <v>25</v>
      </c>
      <c r="G84" s="2" t="s">
        <v>32</v>
      </c>
      <c r="H84" s="2" t="s">
        <v>44</v>
      </c>
    </row>
    <row r="85" customFormat="false" ht="23.85" hidden="false" customHeight="false" outlineLevel="0" collapsed="false">
      <c r="A85" s="2" t="s">
        <v>230</v>
      </c>
      <c r="B85" s="2" t="s">
        <v>231</v>
      </c>
      <c r="C85" s="2" t="s">
        <v>36</v>
      </c>
      <c r="D85" s="2" t="s">
        <v>30</v>
      </c>
      <c r="E85" s="2" t="s">
        <v>12</v>
      </c>
      <c r="F85" s="2" t="s">
        <v>25</v>
      </c>
      <c r="G85" s="2" t="s">
        <v>38</v>
      </c>
      <c r="H85" s="2" t="s">
        <v>39</v>
      </c>
    </row>
    <row r="86" customFormat="false" ht="23.85" hidden="false" customHeight="false" outlineLevel="0" collapsed="false">
      <c r="A86" s="2" t="s">
        <v>232</v>
      </c>
      <c r="B86" s="2" t="s">
        <v>233</v>
      </c>
      <c r="C86" s="2" t="s">
        <v>18</v>
      </c>
      <c r="D86" s="2" t="s">
        <v>19</v>
      </c>
      <c r="E86" s="2" t="s">
        <v>12</v>
      </c>
      <c r="F86" s="2" t="s">
        <v>13</v>
      </c>
      <c r="G86" s="2" t="s">
        <v>234</v>
      </c>
      <c r="H86" s="2" t="s">
        <v>22</v>
      </c>
    </row>
    <row r="87" customFormat="false" ht="46.25" hidden="false" customHeight="false" outlineLevel="0" collapsed="false">
      <c r="A87" s="2" t="s">
        <v>235</v>
      </c>
      <c r="B87" s="2" t="s">
        <v>236</v>
      </c>
      <c r="C87" s="2" t="s">
        <v>10</v>
      </c>
      <c r="D87" s="2" t="s">
        <v>11</v>
      </c>
      <c r="E87" s="2" t="s">
        <v>31</v>
      </c>
      <c r="F87" s="2" t="s">
        <v>13</v>
      </c>
      <c r="G87" s="2" t="s">
        <v>142</v>
      </c>
      <c r="H87" s="2" t="s">
        <v>15</v>
      </c>
    </row>
    <row r="88" customFormat="false" ht="23.85" hidden="false" customHeight="false" outlineLevel="0" collapsed="false">
      <c r="A88" s="2" t="s">
        <v>237</v>
      </c>
      <c r="B88" s="2" t="s">
        <v>238</v>
      </c>
      <c r="C88" s="2" t="s">
        <v>18</v>
      </c>
      <c r="D88" s="2" t="s">
        <v>19</v>
      </c>
      <c r="E88" s="2" t="s">
        <v>20</v>
      </c>
      <c r="F88" s="2" t="s">
        <v>13</v>
      </c>
      <c r="G88" s="2" t="s">
        <v>76</v>
      </c>
      <c r="H88" s="2" t="s">
        <v>44</v>
      </c>
    </row>
    <row r="89" customFormat="false" ht="23.85" hidden="false" customHeight="false" outlineLevel="0" collapsed="false">
      <c r="A89" s="2" t="s">
        <v>239</v>
      </c>
      <c r="B89" s="2" t="s">
        <v>240</v>
      </c>
      <c r="C89" s="2" t="s">
        <v>18</v>
      </c>
      <c r="D89" s="2" t="s">
        <v>30</v>
      </c>
      <c r="E89" s="2" t="s">
        <v>20</v>
      </c>
      <c r="F89" s="2" t="s">
        <v>13</v>
      </c>
      <c r="G89" s="2" t="s">
        <v>32</v>
      </c>
      <c r="H89" s="2" t="s">
        <v>44</v>
      </c>
    </row>
    <row r="90" customFormat="false" ht="23.85" hidden="false" customHeight="false" outlineLevel="0" collapsed="false">
      <c r="A90" s="2" t="s">
        <v>241</v>
      </c>
      <c r="B90" s="2" t="s">
        <v>242</v>
      </c>
      <c r="C90" s="2" t="s">
        <v>18</v>
      </c>
      <c r="D90" s="2" t="s">
        <v>126</v>
      </c>
      <c r="E90" s="2" t="s">
        <v>12</v>
      </c>
      <c r="F90" s="2" t="s">
        <v>13</v>
      </c>
      <c r="G90" s="2" t="s">
        <v>32</v>
      </c>
      <c r="H90" s="2" t="s">
        <v>39</v>
      </c>
    </row>
    <row r="91" customFormat="false" ht="23.85" hidden="false" customHeight="false" outlineLevel="0" collapsed="false">
      <c r="A91" s="2" t="s">
        <v>243</v>
      </c>
      <c r="B91" s="2" t="s">
        <v>244</v>
      </c>
      <c r="C91" s="2" t="s">
        <v>18</v>
      </c>
      <c r="D91" s="2" t="s">
        <v>30</v>
      </c>
      <c r="E91" s="2" t="s">
        <v>31</v>
      </c>
      <c r="F91" s="2" t="s">
        <v>37</v>
      </c>
      <c r="G91" s="2" t="s">
        <v>32</v>
      </c>
      <c r="H91" s="2" t="s">
        <v>39</v>
      </c>
    </row>
    <row r="92" customFormat="false" ht="23.85" hidden="false" customHeight="false" outlineLevel="0" collapsed="false">
      <c r="A92" s="2" t="s">
        <v>245</v>
      </c>
      <c r="B92" s="2" t="s">
        <v>246</v>
      </c>
      <c r="C92" s="2" t="s">
        <v>10</v>
      </c>
      <c r="D92" s="2" t="s">
        <v>19</v>
      </c>
      <c r="E92" s="2" t="s">
        <v>20</v>
      </c>
      <c r="F92" s="2" t="s">
        <v>13</v>
      </c>
      <c r="G92" s="2" t="s">
        <v>116</v>
      </c>
      <c r="H92" s="2" t="s">
        <v>15</v>
      </c>
    </row>
    <row r="93" customFormat="false" ht="35.05" hidden="false" customHeight="false" outlineLevel="0" collapsed="false">
      <c r="A93" s="2" t="s">
        <v>247</v>
      </c>
      <c r="B93" s="2" t="s">
        <v>248</v>
      </c>
      <c r="C93" s="2" t="s">
        <v>18</v>
      </c>
      <c r="D93" s="2" t="s">
        <v>30</v>
      </c>
      <c r="E93" s="2" t="s">
        <v>12</v>
      </c>
      <c r="F93" s="2" t="s">
        <v>37</v>
      </c>
      <c r="G93" s="2" t="s">
        <v>32</v>
      </c>
      <c r="H93" s="2" t="s">
        <v>73</v>
      </c>
    </row>
    <row r="94" customFormat="false" ht="23.85" hidden="false" customHeight="false" outlineLevel="0" collapsed="false">
      <c r="A94" s="2" t="s">
        <v>249</v>
      </c>
      <c r="B94" s="2" t="s">
        <v>250</v>
      </c>
      <c r="C94" s="2" t="s">
        <v>18</v>
      </c>
      <c r="D94" s="2" t="s">
        <v>30</v>
      </c>
      <c r="E94" s="2" t="s">
        <v>20</v>
      </c>
      <c r="F94" s="2" t="s">
        <v>37</v>
      </c>
      <c r="G94" s="2" t="s">
        <v>32</v>
      </c>
      <c r="H94" s="2" t="s">
        <v>51</v>
      </c>
    </row>
    <row r="95" customFormat="false" ht="35.05" hidden="false" customHeight="false" outlineLevel="0" collapsed="false">
      <c r="A95" s="2" t="s">
        <v>251</v>
      </c>
      <c r="B95" s="2" t="s">
        <v>252</v>
      </c>
      <c r="C95" s="2" t="s">
        <v>18</v>
      </c>
      <c r="D95" s="2" t="s">
        <v>196</v>
      </c>
      <c r="E95" s="2" t="s">
        <v>253</v>
      </c>
      <c r="F95" s="2" t="s">
        <v>254</v>
      </c>
      <c r="G95" s="2" t="s">
        <v>32</v>
      </c>
      <c r="H95" s="2" t="s">
        <v>255</v>
      </c>
    </row>
    <row r="96" customFormat="false" ht="23.85" hidden="false" customHeight="false" outlineLevel="0" collapsed="false">
      <c r="A96" s="2" t="s">
        <v>256</v>
      </c>
      <c r="B96" s="2" t="s">
        <v>257</v>
      </c>
      <c r="C96" s="2" t="s">
        <v>18</v>
      </c>
      <c r="D96" s="2" t="s">
        <v>30</v>
      </c>
      <c r="E96" s="2" t="s">
        <v>31</v>
      </c>
      <c r="F96" s="2" t="s">
        <v>25</v>
      </c>
      <c r="G96" s="2" t="s">
        <v>105</v>
      </c>
      <c r="H96" s="2" t="s">
        <v>39</v>
      </c>
    </row>
    <row r="97" customFormat="false" ht="23.85" hidden="false" customHeight="false" outlineLevel="0" collapsed="false">
      <c r="A97" s="2" t="s">
        <v>258</v>
      </c>
      <c r="B97" s="2" t="s">
        <v>259</v>
      </c>
      <c r="C97" s="2" t="s">
        <v>18</v>
      </c>
      <c r="D97" s="2" t="s">
        <v>30</v>
      </c>
      <c r="E97" s="2" t="s">
        <v>12</v>
      </c>
      <c r="F97" s="2" t="s">
        <v>50</v>
      </c>
      <c r="G97" s="2" t="s">
        <v>105</v>
      </c>
      <c r="H97" s="2" t="s">
        <v>39</v>
      </c>
    </row>
    <row r="98" customFormat="false" ht="23.85" hidden="false" customHeight="false" outlineLevel="0" collapsed="false">
      <c r="A98" s="2" t="s">
        <v>260</v>
      </c>
      <c r="B98" s="2" t="s">
        <v>261</v>
      </c>
      <c r="C98" s="2" t="s">
        <v>10</v>
      </c>
      <c r="D98" s="2" t="s">
        <v>19</v>
      </c>
      <c r="E98" s="2" t="s">
        <v>20</v>
      </c>
      <c r="F98" s="2" t="s">
        <v>13</v>
      </c>
      <c r="G98" s="2" t="s">
        <v>14</v>
      </c>
      <c r="H98" s="2" t="s">
        <v>15</v>
      </c>
    </row>
    <row r="99" customFormat="false" ht="15" hidden="false" customHeight="false" outlineLevel="0" collapsed="false">
      <c r="A99" s="2" t="s">
        <v>262</v>
      </c>
      <c r="B99" s="2" t="s">
        <v>263</v>
      </c>
      <c r="C99" s="2" t="s">
        <v>10</v>
      </c>
      <c r="D99" s="2" t="s">
        <v>19</v>
      </c>
      <c r="E99" s="2" t="s">
        <v>12</v>
      </c>
      <c r="F99" s="2" t="s">
        <v>13</v>
      </c>
      <c r="G99" s="2" t="s">
        <v>14</v>
      </c>
      <c r="H99" s="2" t="s">
        <v>15</v>
      </c>
    </row>
    <row r="100" customFormat="false" ht="23.85" hidden="false" customHeight="false" outlineLevel="0" collapsed="false">
      <c r="A100" s="2" t="s">
        <v>264</v>
      </c>
      <c r="B100" s="2" t="s">
        <v>265</v>
      </c>
      <c r="C100" s="2" t="s">
        <v>10</v>
      </c>
      <c r="D100" s="2" t="s">
        <v>11</v>
      </c>
      <c r="E100" s="2" t="s">
        <v>20</v>
      </c>
      <c r="F100" s="2" t="s">
        <v>13</v>
      </c>
      <c r="G100" s="2" t="s">
        <v>142</v>
      </c>
      <c r="H100" s="2" t="s">
        <v>15</v>
      </c>
    </row>
    <row r="101" customFormat="false" ht="23.85" hidden="false" customHeight="false" outlineLevel="0" collapsed="false">
      <c r="A101" s="2" t="s">
        <v>266</v>
      </c>
      <c r="B101" s="2" t="s">
        <v>267</v>
      </c>
      <c r="C101" s="2" t="s">
        <v>18</v>
      </c>
      <c r="D101" s="2" t="s">
        <v>19</v>
      </c>
      <c r="E101" s="2" t="s">
        <v>20</v>
      </c>
      <c r="F101" s="2" t="s">
        <v>13</v>
      </c>
      <c r="G101" s="2" t="s">
        <v>32</v>
      </c>
      <c r="H101" s="2" t="s">
        <v>22</v>
      </c>
    </row>
    <row r="102" customFormat="false" ht="35.05" hidden="false" customHeight="false" outlineLevel="0" collapsed="false">
      <c r="A102" s="2" t="s">
        <v>268</v>
      </c>
      <c r="B102" s="2" t="s">
        <v>17</v>
      </c>
      <c r="C102" s="2" t="s">
        <v>18</v>
      </c>
      <c r="D102" s="2" t="s">
        <v>30</v>
      </c>
      <c r="E102" s="2" t="s">
        <v>12</v>
      </c>
      <c r="F102" s="2" t="s">
        <v>50</v>
      </c>
      <c r="G102" s="2" t="s">
        <v>269</v>
      </c>
      <c r="H102" s="2" t="s">
        <v>33</v>
      </c>
    </row>
    <row r="103" customFormat="false" ht="23.85" hidden="false" customHeight="false" outlineLevel="0" collapsed="false">
      <c r="A103" s="2" t="s">
        <v>270</v>
      </c>
      <c r="B103" s="2" t="s">
        <v>271</v>
      </c>
      <c r="C103" s="2" t="s">
        <v>18</v>
      </c>
      <c r="D103" s="2" t="s">
        <v>11</v>
      </c>
      <c r="E103" s="2" t="s">
        <v>12</v>
      </c>
      <c r="F103" s="2" t="s">
        <v>161</v>
      </c>
      <c r="G103" s="2" t="s">
        <v>32</v>
      </c>
      <c r="H103" s="2" t="s">
        <v>44</v>
      </c>
    </row>
    <row r="104" customFormat="false" ht="23.85" hidden="false" customHeight="false" outlineLevel="0" collapsed="false">
      <c r="A104" s="2" t="s">
        <v>272</v>
      </c>
      <c r="B104" s="2" t="s">
        <v>273</v>
      </c>
      <c r="C104" s="2" t="s">
        <v>18</v>
      </c>
      <c r="D104" s="2" t="s">
        <v>30</v>
      </c>
      <c r="E104" s="2" t="s">
        <v>20</v>
      </c>
      <c r="F104" s="2" t="s">
        <v>25</v>
      </c>
      <c r="G104" s="2" t="s">
        <v>32</v>
      </c>
      <c r="H104" s="2" t="s">
        <v>73</v>
      </c>
    </row>
    <row r="105" customFormat="false" ht="23.85" hidden="false" customHeight="false" outlineLevel="0" collapsed="false">
      <c r="A105" s="2" t="s">
        <v>274</v>
      </c>
      <c r="B105" s="2" t="s">
        <v>275</v>
      </c>
      <c r="C105" s="2" t="s">
        <v>18</v>
      </c>
      <c r="D105" s="2" t="s">
        <v>11</v>
      </c>
      <c r="E105" s="2" t="s">
        <v>20</v>
      </c>
      <c r="F105" s="2" t="s">
        <v>13</v>
      </c>
      <c r="G105" s="2" t="s">
        <v>276</v>
      </c>
      <c r="H105" s="2" t="s">
        <v>39</v>
      </c>
    </row>
    <row r="106" customFormat="false" ht="23.85" hidden="false" customHeight="false" outlineLevel="0" collapsed="false">
      <c r="A106" s="2" t="s">
        <v>277</v>
      </c>
      <c r="B106" s="2" t="s">
        <v>278</v>
      </c>
      <c r="C106" s="2" t="s">
        <v>18</v>
      </c>
      <c r="D106" s="2" t="s">
        <v>30</v>
      </c>
      <c r="E106" s="2" t="s">
        <v>20</v>
      </c>
      <c r="F106" s="2" t="s">
        <v>13</v>
      </c>
      <c r="G106" s="2" t="s">
        <v>149</v>
      </c>
      <c r="H106" s="2" t="s">
        <v>44</v>
      </c>
    </row>
    <row r="107" customFormat="false" ht="23.85" hidden="false" customHeight="false" outlineLevel="0" collapsed="false">
      <c r="A107" s="2" t="s">
        <v>279</v>
      </c>
      <c r="B107" s="2" t="s">
        <v>280</v>
      </c>
      <c r="C107" s="2" t="s">
        <v>18</v>
      </c>
      <c r="D107" s="2" t="s">
        <v>30</v>
      </c>
      <c r="E107" s="2" t="s">
        <v>20</v>
      </c>
      <c r="F107" s="2" t="s">
        <v>156</v>
      </c>
      <c r="G107" s="2" t="s">
        <v>32</v>
      </c>
      <c r="H107" s="2" t="s">
        <v>73</v>
      </c>
    </row>
    <row r="108" customFormat="false" ht="35.05" hidden="false" customHeight="false" outlineLevel="0" collapsed="false">
      <c r="A108" s="2" t="s">
        <v>281</v>
      </c>
      <c r="B108" s="2" t="s">
        <v>282</v>
      </c>
      <c r="C108" s="2" t="s">
        <v>10</v>
      </c>
      <c r="D108" s="2" t="s">
        <v>19</v>
      </c>
      <c r="E108" s="2" t="s">
        <v>12</v>
      </c>
      <c r="F108" s="2" t="s">
        <v>25</v>
      </c>
      <c r="G108" s="2" t="s">
        <v>14</v>
      </c>
      <c r="H108" s="2" t="s">
        <v>22</v>
      </c>
    </row>
  </sheetData>
  <autoFilter ref="A1:H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3" t="s">
        <v>283</v>
      </c>
    </row>
    <row r="2" customFormat="false" ht="15" hidden="false" customHeight="false" outlineLevel="0" collapsed="false">
      <c r="A2" s="4" t="s">
        <v>284</v>
      </c>
      <c r="B2" s="4" t="s">
        <v>285</v>
      </c>
      <c r="C2" s="4" t="s">
        <v>286</v>
      </c>
    </row>
    <row r="3" customFormat="false" ht="15" hidden="false" customHeight="false" outlineLevel="0" collapsed="false">
      <c r="A3" s="5" t="s">
        <v>18</v>
      </c>
      <c r="B3" s="5" t="n">
        <v>73</v>
      </c>
      <c r="C3" s="6" t="n">
        <f aca="false">B3/107</f>
        <v>0.682242990654206</v>
      </c>
    </row>
    <row r="4" customFormat="false" ht="15" hidden="false" customHeight="false" outlineLevel="0" collapsed="false">
      <c r="A4" s="5" t="s">
        <v>10</v>
      </c>
      <c r="B4" s="5" t="n">
        <v>27</v>
      </c>
      <c r="C4" s="6" t="n">
        <f aca="false">B4/107</f>
        <v>0.252336448598131</v>
      </c>
    </row>
    <row r="5" customFormat="false" ht="15" hidden="false" customHeight="false" outlineLevel="0" collapsed="false">
      <c r="A5" s="5" t="s">
        <v>112</v>
      </c>
      <c r="B5" s="5" t="n">
        <v>1</v>
      </c>
      <c r="C5" s="6" t="n">
        <f aca="false">B5/107</f>
        <v>0.00934579439252336</v>
      </c>
    </row>
    <row r="6" customFormat="false" ht="15" hidden="false" customHeight="false" outlineLevel="0" collapsed="false">
      <c r="A6" s="5" t="s">
        <v>36</v>
      </c>
      <c r="B6" s="5" t="n">
        <v>6</v>
      </c>
      <c r="C6" s="6" t="n">
        <f aca="false">B6/107</f>
        <v>0.0560747663551402</v>
      </c>
    </row>
    <row r="7" customFormat="false" ht="15" hidden="false" customHeight="false" outlineLevel="0" collapsed="false">
      <c r="A7" s="7" t="s">
        <v>287</v>
      </c>
      <c r="B7" s="8" t="n">
        <f aca="false">SUM(B3:B6)</f>
        <v>107</v>
      </c>
    </row>
    <row r="9" customFormat="false" ht="15" hidden="false" customHeight="false" outlineLevel="0" collapsed="false">
      <c r="A9" s="3" t="s">
        <v>288</v>
      </c>
    </row>
    <row r="10" customFormat="false" ht="15" hidden="false" customHeight="false" outlineLevel="0" collapsed="false">
      <c r="A10" s="4" t="s">
        <v>284</v>
      </c>
      <c r="B10" s="4" t="s">
        <v>285</v>
      </c>
      <c r="C10" s="4" t="s">
        <v>286</v>
      </c>
    </row>
    <row r="11" customFormat="false" ht="15" hidden="false" customHeight="false" outlineLevel="0" collapsed="false">
      <c r="A11" s="5" t="s">
        <v>289</v>
      </c>
      <c r="B11" s="5" t="n">
        <v>82</v>
      </c>
      <c r="C11" s="6" t="n">
        <f aca="false">B11/107</f>
        <v>0.766355140186916</v>
      </c>
    </row>
    <row r="12" customFormat="false" ht="15" hidden="false" customHeight="false" outlineLevel="0" collapsed="false">
      <c r="A12" s="5" t="s">
        <v>290</v>
      </c>
      <c r="B12" s="5" t="n">
        <v>10</v>
      </c>
      <c r="C12" s="6" t="n">
        <f aca="false">B12/107</f>
        <v>0.0934579439252336</v>
      </c>
    </row>
    <row r="13" customFormat="false" ht="15" hidden="false" customHeight="false" outlineLevel="0" collapsed="false">
      <c r="A13" s="5" t="s">
        <v>291</v>
      </c>
      <c r="B13" s="5" t="n">
        <v>4</v>
      </c>
      <c r="C13" s="6" t="n">
        <f aca="false">B13/107</f>
        <v>0.0373831775700935</v>
      </c>
    </row>
    <row r="14" customFormat="false" ht="15" hidden="false" customHeight="false" outlineLevel="0" collapsed="false">
      <c r="A14" s="5" t="s">
        <v>292</v>
      </c>
      <c r="B14" s="5" t="n">
        <v>4</v>
      </c>
      <c r="C14" s="6" t="n">
        <f aca="false">B14/107</f>
        <v>0.0373831775700935</v>
      </c>
    </row>
    <row r="15" customFormat="false" ht="15" hidden="false" customHeight="false" outlineLevel="0" collapsed="false">
      <c r="A15" s="5" t="s">
        <v>293</v>
      </c>
      <c r="B15" s="5" t="n">
        <v>4</v>
      </c>
      <c r="C15" s="6" t="n">
        <f aca="false">B15/107</f>
        <v>0.0373831775700935</v>
      </c>
    </row>
    <row r="16" customFormat="false" ht="15" hidden="false" customHeight="false" outlineLevel="0" collapsed="false">
      <c r="A16" s="5" t="s">
        <v>294</v>
      </c>
      <c r="B16" s="5" t="n">
        <v>4</v>
      </c>
      <c r="C16" s="6" t="n">
        <f aca="false">B16/107</f>
        <v>0.0373831775700935</v>
      </c>
    </row>
    <row r="17" customFormat="false" ht="15" hidden="false" customHeight="false" outlineLevel="0" collapsed="false">
      <c r="A17" s="5" t="s">
        <v>295</v>
      </c>
      <c r="B17" s="5" t="n">
        <v>2</v>
      </c>
      <c r="C17" s="6" t="n">
        <f aca="false">B17/107</f>
        <v>0.0186915887850467</v>
      </c>
    </row>
    <row r="18" customFormat="false" ht="15" hidden="false" customHeight="false" outlineLevel="0" collapsed="false">
      <c r="A18" s="5" t="s">
        <v>296</v>
      </c>
      <c r="B18" s="5" t="n">
        <v>1</v>
      </c>
      <c r="C18" s="6" t="n">
        <f aca="false">B18/107</f>
        <v>0.00934579439252336</v>
      </c>
    </row>
    <row r="19" customFormat="false" ht="15" hidden="false" customHeight="false" outlineLevel="0" collapsed="false">
      <c r="A19" s="7" t="s">
        <v>287</v>
      </c>
      <c r="B19" s="8" t="n">
        <f aca="false">SUM(B11:B18)</f>
        <v>111</v>
      </c>
    </row>
    <row r="21" customFormat="false" ht="15" hidden="false" customHeight="false" outlineLevel="0" collapsed="false">
      <c r="A21" s="3" t="s">
        <v>297</v>
      </c>
    </row>
    <row r="22" customFormat="false" ht="15" hidden="false" customHeight="false" outlineLevel="0" collapsed="false">
      <c r="A22" s="4" t="s">
        <v>284</v>
      </c>
      <c r="B22" s="4" t="s">
        <v>285</v>
      </c>
      <c r="C22" s="4" t="s">
        <v>286</v>
      </c>
    </row>
    <row r="23" customFormat="false" ht="15" hidden="false" customHeight="false" outlineLevel="0" collapsed="false">
      <c r="A23" s="5" t="s">
        <v>19</v>
      </c>
      <c r="B23" s="5" t="n">
        <v>39</v>
      </c>
      <c r="C23" s="6" t="n">
        <f aca="false">B23/107</f>
        <v>0.364485981308411</v>
      </c>
    </row>
    <row r="24" customFormat="false" ht="15" hidden="false" customHeight="false" outlineLevel="0" collapsed="false">
      <c r="A24" s="5" t="s">
        <v>11</v>
      </c>
      <c r="B24" s="5" t="n">
        <v>27</v>
      </c>
      <c r="C24" s="6" t="n">
        <f aca="false">B24/107</f>
        <v>0.252336448598131</v>
      </c>
    </row>
    <row r="25" customFormat="false" ht="15" hidden="false" customHeight="false" outlineLevel="0" collapsed="false">
      <c r="A25" s="5" t="s">
        <v>30</v>
      </c>
      <c r="B25" s="5" t="n">
        <v>37</v>
      </c>
      <c r="C25" s="6" t="n">
        <f aca="false">B25/107</f>
        <v>0.345794392523364</v>
      </c>
    </row>
    <row r="26" customFormat="false" ht="15" hidden="false" customHeight="false" outlineLevel="0" collapsed="false">
      <c r="A26" s="5" t="s">
        <v>126</v>
      </c>
      <c r="B26" s="5" t="n">
        <v>2</v>
      </c>
      <c r="C26" s="6" t="n">
        <f aca="false">B26/107</f>
        <v>0.0186915887850467</v>
      </c>
    </row>
    <row r="27" customFormat="false" ht="15" hidden="false" customHeight="false" outlineLevel="0" collapsed="false">
      <c r="A27" s="5" t="s">
        <v>196</v>
      </c>
      <c r="B27" s="5" t="n">
        <v>2</v>
      </c>
      <c r="C27" s="6" t="n">
        <f aca="false">B27/107</f>
        <v>0.0186915887850467</v>
      </c>
    </row>
    <row r="28" customFormat="false" ht="15" hidden="false" customHeight="false" outlineLevel="0" collapsed="false">
      <c r="A28" s="7" t="s">
        <v>287</v>
      </c>
      <c r="B28" s="8" t="n">
        <f aca="false">SUM(B23:B27)</f>
        <v>107</v>
      </c>
    </row>
    <row r="30" customFormat="false" ht="15" hidden="false" customHeight="false" outlineLevel="0" collapsed="false">
      <c r="A30" s="3" t="s">
        <v>298</v>
      </c>
    </row>
    <row r="31" customFormat="false" ht="15" hidden="false" customHeight="false" outlineLevel="0" collapsed="false">
      <c r="A31" s="4" t="s">
        <v>284</v>
      </c>
      <c r="B31" s="4" t="s">
        <v>285</v>
      </c>
      <c r="C31" s="4" t="s">
        <v>286</v>
      </c>
    </row>
    <row r="32" customFormat="false" ht="15" hidden="false" customHeight="false" outlineLevel="0" collapsed="false">
      <c r="A32" s="5" t="s">
        <v>299</v>
      </c>
      <c r="B32" s="5" t="n">
        <v>59</v>
      </c>
      <c r="C32" s="6" t="n">
        <f aca="false">B32/95</f>
        <v>0.621052631578947</v>
      </c>
    </row>
    <row r="33" customFormat="false" ht="15" hidden="false" customHeight="false" outlineLevel="0" collapsed="false">
      <c r="A33" s="5" t="s">
        <v>300</v>
      </c>
      <c r="B33" s="5" t="n">
        <v>19</v>
      </c>
      <c r="C33" s="6" t="n">
        <f aca="false">B33/95</f>
        <v>0.2</v>
      </c>
    </row>
    <row r="34" customFormat="false" ht="15" hidden="false" customHeight="false" outlineLevel="0" collapsed="false">
      <c r="A34" s="5" t="s">
        <v>301</v>
      </c>
      <c r="B34" s="5" t="n">
        <v>15</v>
      </c>
      <c r="C34" s="6" t="n">
        <f aca="false">B34/95</f>
        <v>0.157894736842105</v>
      </c>
    </row>
    <row r="35" customFormat="false" ht="15" hidden="false" customHeight="false" outlineLevel="0" collapsed="false">
      <c r="A35" s="5" t="s">
        <v>302</v>
      </c>
      <c r="B35" s="5" t="n">
        <v>4</v>
      </c>
      <c r="C35" s="6" t="n">
        <f aca="false">B35/95</f>
        <v>0.0421052631578947</v>
      </c>
    </row>
    <row r="36" customFormat="false" ht="15" hidden="false" customHeight="false" outlineLevel="0" collapsed="false">
      <c r="A36" s="5" t="s">
        <v>303</v>
      </c>
      <c r="B36" s="5" t="n">
        <v>4</v>
      </c>
      <c r="C36" s="6" t="n">
        <f aca="false">B36/95</f>
        <v>0.0421052631578947</v>
      </c>
    </row>
    <row r="37" customFormat="false" ht="15" hidden="false" customHeight="false" outlineLevel="0" collapsed="false">
      <c r="A37" s="5" t="s">
        <v>304</v>
      </c>
      <c r="B37" s="5" t="n">
        <v>3</v>
      </c>
      <c r="C37" s="6" t="n">
        <f aca="false">B37/95</f>
        <v>0.0315789473684211</v>
      </c>
    </row>
    <row r="38" customFormat="false" ht="15" hidden="false" customHeight="false" outlineLevel="0" collapsed="false">
      <c r="A38" s="5" t="s">
        <v>294</v>
      </c>
      <c r="B38" s="5" t="n">
        <v>1</v>
      </c>
      <c r="C38" s="6" t="n">
        <f aca="false">B38/95</f>
        <v>0.0105263157894737</v>
      </c>
    </row>
    <row r="39" customFormat="false" ht="15" hidden="false" customHeight="false" outlineLevel="0" collapsed="false">
      <c r="A39" s="5" t="s">
        <v>305</v>
      </c>
      <c r="B39" s="5" t="n">
        <v>1</v>
      </c>
      <c r="C39" s="6" t="n">
        <f aca="false">B39/95</f>
        <v>0.0105263157894737</v>
      </c>
    </row>
    <row r="40" customFormat="false" ht="15" hidden="false" customHeight="false" outlineLevel="0" collapsed="false">
      <c r="A40" s="7" t="s">
        <v>287</v>
      </c>
      <c r="B40" s="8" t="n">
        <f aca="false">SUM(B32:B39)</f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9" t="s">
        <v>306</v>
      </c>
    </row>
    <row r="2" customFormat="false" ht="15" hidden="false" customHeight="false" outlineLevel="0" collapsed="false">
      <c r="A2" s="10"/>
    </row>
    <row r="3" customFormat="false" ht="35.05" hidden="false" customHeight="false" outlineLevel="0" collapsed="false">
      <c r="A3" s="10" t="s">
        <v>307</v>
      </c>
    </row>
    <row r="4" customFormat="false" ht="15" hidden="false" customHeight="false" outlineLevel="0" collapsed="false">
      <c r="A4" s="10"/>
    </row>
    <row r="5" customFormat="false" ht="23.85" hidden="false" customHeight="false" outlineLevel="0" collapsed="false">
      <c r="A5" s="10" t="s">
        <v>308</v>
      </c>
    </row>
    <row r="6" customFormat="false" ht="15" hidden="false" customHeight="false" outlineLevel="0" collapsed="false">
      <c r="A6" s="10" t="s">
        <v>309</v>
      </c>
    </row>
    <row r="7" customFormat="false" ht="23.85" hidden="false" customHeight="false" outlineLevel="0" collapsed="false">
      <c r="A7" s="10" t="s">
        <v>310</v>
      </c>
    </row>
    <row r="8" customFormat="false" ht="23.85" hidden="false" customHeight="false" outlineLevel="0" collapsed="false">
      <c r="A8" s="10" t="s">
        <v>311</v>
      </c>
    </row>
    <row r="9" customFormat="false" ht="15" hidden="false" customHeight="false" outlineLevel="0" collapsed="false">
      <c r="A9" s="10" t="s">
        <v>312</v>
      </c>
    </row>
    <row r="10" customFormat="false" ht="15" hidden="false" customHeight="false" outlineLevel="0" collapsed="false">
      <c r="A10" s="10" t="s">
        <v>313</v>
      </c>
    </row>
    <row r="11" customFormat="false" ht="23.85" hidden="false" customHeight="false" outlineLevel="0" collapsed="false">
      <c r="A11" s="10" t="s">
        <v>314</v>
      </c>
    </row>
    <row r="12" customFormat="false" ht="15" hidden="false" customHeight="false" outlineLevel="0" collapsed="false">
      <c r="A12" s="10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45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1" t="s">
        <v>316</v>
      </c>
      <c r="B1" s="11" t="s">
        <v>317</v>
      </c>
      <c r="C1" s="11" t="s">
        <v>318</v>
      </c>
      <c r="D1" s="11" t="s">
        <v>319</v>
      </c>
      <c r="E1" s="11" t="s">
        <v>320</v>
      </c>
      <c r="F1" s="11" t="s">
        <v>321</v>
      </c>
      <c r="G1" s="11" t="s">
        <v>322</v>
      </c>
    </row>
    <row r="2" customFormat="false" ht="35.05" hidden="false" customHeight="false" outlineLevel="0" collapsed="false">
      <c r="A2" s="2" t="s">
        <v>323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328</v>
      </c>
      <c r="G2" s="2" t="s">
        <v>329</v>
      </c>
    </row>
    <row r="3" customFormat="false" ht="35.05" hidden="false" customHeight="false" outlineLevel="0" collapsed="false">
      <c r="A3" s="2" t="s">
        <v>330</v>
      </c>
      <c r="B3" s="2" t="s">
        <v>324</v>
      </c>
      <c r="C3" s="2" t="s">
        <v>331</v>
      </c>
      <c r="D3" s="2" t="s">
        <v>332</v>
      </c>
      <c r="E3" s="2" t="s">
        <v>333</v>
      </c>
      <c r="F3" s="2" t="s">
        <v>334</v>
      </c>
      <c r="G3" s="2" t="s">
        <v>335</v>
      </c>
    </row>
    <row r="4" customFormat="false" ht="35.05" hidden="false" customHeight="false" outlineLevel="0" collapsed="false">
      <c r="A4" s="2" t="s">
        <v>336</v>
      </c>
      <c r="B4" s="2" t="s">
        <v>324</v>
      </c>
      <c r="C4" s="2" t="s">
        <v>331</v>
      </c>
      <c r="D4" s="2" t="s">
        <v>337</v>
      </c>
      <c r="E4" s="2" t="s">
        <v>338</v>
      </c>
      <c r="F4" s="2" t="s">
        <v>339</v>
      </c>
      <c r="G4" s="2" t="s">
        <v>340</v>
      </c>
    </row>
    <row r="5" customFormat="false" ht="35.05" hidden="false" customHeight="false" outlineLevel="0" collapsed="false">
      <c r="A5" s="2" t="s">
        <v>341</v>
      </c>
      <c r="B5" s="2" t="s">
        <v>324</v>
      </c>
      <c r="C5" s="2" t="s">
        <v>331</v>
      </c>
      <c r="D5" s="2" t="s">
        <v>342</v>
      </c>
      <c r="E5" s="2" t="s">
        <v>343</v>
      </c>
      <c r="F5" s="2" t="s">
        <v>344</v>
      </c>
      <c r="G5" s="2" t="s">
        <v>345</v>
      </c>
    </row>
    <row r="6" customFormat="false" ht="35.05" hidden="false" customHeight="false" outlineLevel="0" collapsed="false">
      <c r="A6" s="2" t="s">
        <v>346</v>
      </c>
      <c r="B6" s="2" t="s">
        <v>324</v>
      </c>
      <c r="C6" s="2" t="s">
        <v>331</v>
      </c>
      <c r="D6" s="2" t="s">
        <v>342</v>
      </c>
      <c r="E6" s="2" t="s">
        <v>347</v>
      </c>
      <c r="F6" s="2" t="s">
        <v>348</v>
      </c>
      <c r="G6" s="2" t="s">
        <v>349</v>
      </c>
    </row>
    <row r="7" customFormat="false" ht="46.25" hidden="false" customHeight="false" outlineLevel="0" collapsed="false">
      <c r="A7" s="2" t="s">
        <v>350</v>
      </c>
      <c r="B7" s="2" t="s">
        <v>324</v>
      </c>
      <c r="C7" s="2" t="s">
        <v>351</v>
      </c>
      <c r="D7" s="2" t="s">
        <v>332</v>
      </c>
      <c r="E7" s="2" t="s">
        <v>352</v>
      </c>
      <c r="F7" s="2" t="s">
        <v>353</v>
      </c>
      <c r="G7" s="2" t="s">
        <v>354</v>
      </c>
    </row>
    <row r="8" customFormat="false" ht="35.05" hidden="false" customHeight="false" outlineLevel="0" collapsed="false">
      <c r="A8" s="2" t="s">
        <v>355</v>
      </c>
      <c r="B8" s="2" t="s">
        <v>324</v>
      </c>
      <c r="C8" s="2" t="s">
        <v>351</v>
      </c>
      <c r="D8" s="2" t="s">
        <v>342</v>
      </c>
      <c r="E8" s="2" t="s">
        <v>356</v>
      </c>
      <c r="F8" s="2" t="s">
        <v>357</v>
      </c>
      <c r="G8" s="2" t="s">
        <v>358</v>
      </c>
    </row>
    <row r="9" customFormat="false" ht="35.05" hidden="false" customHeight="false" outlineLevel="0" collapsed="false">
      <c r="A9" s="2" t="s">
        <v>359</v>
      </c>
      <c r="B9" s="2" t="s">
        <v>324</v>
      </c>
      <c r="C9" s="2" t="s">
        <v>351</v>
      </c>
      <c r="D9" s="2" t="s">
        <v>337</v>
      </c>
      <c r="E9" s="2" t="s">
        <v>360</v>
      </c>
      <c r="F9" s="2" t="s">
        <v>361</v>
      </c>
      <c r="G9" s="2" t="s">
        <v>354</v>
      </c>
    </row>
    <row r="10" customFormat="false" ht="23.85" hidden="false" customHeight="false" outlineLevel="0" collapsed="false">
      <c r="A10" s="2" t="s">
        <v>362</v>
      </c>
      <c r="B10" s="2" t="s">
        <v>324</v>
      </c>
      <c r="C10" s="2" t="s">
        <v>351</v>
      </c>
      <c r="D10" s="2" t="s">
        <v>337</v>
      </c>
      <c r="E10" s="2" t="s">
        <v>363</v>
      </c>
      <c r="F10" s="2" t="s">
        <v>364</v>
      </c>
      <c r="G10" s="2" t="s">
        <v>365</v>
      </c>
    </row>
    <row r="11" customFormat="false" ht="35.05" hidden="false" customHeight="false" outlineLevel="0" collapsed="false">
      <c r="A11" s="2" t="s">
        <v>366</v>
      </c>
      <c r="B11" s="2" t="s">
        <v>324</v>
      </c>
      <c r="C11" s="2" t="s">
        <v>367</v>
      </c>
      <c r="D11" s="2" t="s">
        <v>342</v>
      </c>
      <c r="E11" s="2" t="s">
        <v>368</v>
      </c>
      <c r="F11" s="2" t="s">
        <v>369</v>
      </c>
      <c r="G11" s="2" t="s">
        <v>370</v>
      </c>
    </row>
    <row r="12" customFormat="false" ht="23.85" hidden="false" customHeight="false" outlineLevel="0" collapsed="false">
      <c r="A12" s="2" t="s">
        <v>371</v>
      </c>
      <c r="B12" s="2" t="s">
        <v>324</v>
      </c>
      <c r="C12" s="2" t="s">
        <v>367</v>
      </c>
      <c r="D12" s="2" t="s">
        <v>337</v>
      </c>
      <c r="E12" s="2" t="s">
        <v>372</v>
      </c>
      <c r="F12" s="2" t="s">
        <v>373</v>
      </c>
      <c r="G12" s="2" t="s">
        <v>374</v>
      </c>
    </row>
    <row r="13" customFormat="false" ht="35.05" hidden="false" customHeight="false" outlineLevel="0" collapsed="false">
      <c r="A13" s="2" t="s">
        <v>375</v>
      </c>
      <c r="B13" s="2" t="s">
        <v>324</v>
      </c>
      <c r="C13" s="2" t="s">
        <v>376</v>
      </c>
      <c r="D13" s="2" t="s">
        <v>377</v>
      </c>
      <c r="E13" s="2" t="s">
        <v>378</v>
      </c>
      <c r="F13" s="2" t="s">
        <v>379</v>
      </c>
      <c r="G13" s="2" t="s">
        <v>380</v>
      </c>
    </row>
    <row r="14" customFormat="false" ht="23.85" hidden="false" customHeight="false" outlineLevel="0" collapsed="false">
      <c r="A14" s="2" t="s">
        <v>381</v>
      </c>
      <c r="B14" s="2" t="s">
        <v>324</v>
      </c>
      <c r="C14" s="2" t="s">
        <v>382</v>
      </c>
      <c r="D14" s="2" t="s">
        <v>377</v>
      </c>
      <c r="E14" s="2" t="s">
        <v>383</v>
      </c>
      <c r="F14" s="2" t="s">
        <v>384</v>
      </c>
      <c r="G14" s="2" t="s">
        <v>380</v>
      </c>
    </row>
    <row r="15" customFormat="false" ht="23.85" hidden="false" customHeight="false" outlineLevel="0" collapsed="false">
      <c r="A15" s="2" t="s">
        <v>385</v>
      </c>
      <c r="B15" s="2" t="s">
        <v>324</v>
      </c>
      <c r="C15" s="2" t="s">
        <v>386</v>
      </c>
      <c r="D15" s="2" t="s">
        <v>387</v>
      </c>
      <c r="E15" s="2" t="s">
        <v>388</v>
      </c>
      <c r="F15" s="2" t="s">
        <v>389</v>
      </c>
      <c r="G15" s="2" t="s">
        <v>390</v>
      </c>
    </row>
    <row r="16" customFormat="false" ht="35.05" hidden="false" customHeight="false" outlineLevel="0" collapsed="false">
      <c r="A16" s="2" t="s">
        <v>391</v>
      </c>
      <c r="B16" s="2" t="s">
        <v>324</v>
      </c>
      <c r="C16" s="2" t="s">
        <v>392</v>
      </c>
      <c r="D16" s="2" t="s">
        <v>332</v>
      </c>
      <c r="E16" s="2" t="s">
        <v>393</v>
      </c>
      <c r="F16" s="2" t="s">
        <v>394</v>
      </c>
      <c r="G16" s="2" t="s">
        <v>395</v>
      </c>
    </row>
    <row r="17" customFormat="false" ht="35.05" hidden="false" customHeight="false" outlineLevel="0" collapsed="false">
      <c r="A17" s="2" t="s">
        <v>396</v>
      </c>
      <c r="B17" s="2" t="s">
        <v>324</v>
      </c>
      <c r="C17" s="2" t="s">
        <v>397</v>
      </c>
      <c r="D17" s="2" t="s">
        <v>326</v>
      </c>
      <c r="E17" s="2" t="s">
        <v>398</v>
      </c>
      <c r="F17" s="2" t="s">
        <v>399</v>
      </c>
      <c r="G17" s="2" t="s">
        <v>400</v>
      </c>
    </row>
    <row r="18" customFormat="false" ht="35.05" hidden="false" customHeight="false" outlineLevel="0" collapsed="false">
      <c r="A18" s="2" t="s">
        <v>401</v>
      </c>
      <c r="B18" s="2" t="s">
        <v>324</v>
      </c>
      <c r="C18" s="2" t="s">
        <v>402</v>
      </c>
      <c r="D18" s="2" t="s">
        <v>326</v>
      </c>
      <c r="E18" s="2" t="s">
        <v>403</v>
      </c>
      <c r="F18" s="2" t="s">
        <v>404</v>
      </c>
      <c r="G18" s="2" t="s">
        <v>354</v>
      </c>
    </row>
    <row r="19" customFormat="false" ht="23.85" hidden="false" customHeight="false" outlineLevel="0" collapsed="false">
      <c r="A19" s="2" t="s">
        <v>405</v>
      </c>
      <c r="B19" s="2" t="s">
        <v>324</v>
      </c>
      <c r="C19" s="2" t="s">
        <v>406</v>
      </c>
      <c r="D19" s="2" t="s">
        <v>326</v>
      </c>
      <c r="E19" s="2" t="s">
        <v>407</v>
      </c>
      <c r="F19" s="2" t="s">
        <v>408</v>
      </c>
      <c r="G19" s="2" t="s">
        <v>409</v>
      </c>
    </row>
    <row r="20" customFormat="false" ht="35.05" hidden="false" customHeight="false" outlineLevel="0" collapsed="false">
      <c r="A20" s="2" t="s">
        <v>410</v>
      </c>
      <c r="B20" s="2" t="s">
        <v>324</v>
      </c>
      <c r="C20" s="2" t="s">
        <v>411</v>
      </c>
      <c r="D20" s="2" t="s">
        <v>332</v>
      </c>
      <c r="E20" s="2" t="s">
        <v>412</v>
      </c>
      <c r="F20" s="2" t="s">
        <v>413</v>
      </c>
      <c r="G20" s="2" t="s">
        <v>354</v>
      </c>
    </row>
    <row r="21" customFormat="false" ht="35.05" hidden="false" customHeight="false" outlineLevel="0" collapsed="false">
      <c r="A21" s="2" t="s">
        <v>414</v>
      </c>
      <c r="B21" s="2" t="s">
        <v>324</v>
      </c>
      <c r="C21" s="2" t="s">
        <v>415</v>
      </c>
      <c r="D21" s="2" t="s">
        <v>332</v>
      </c>
      <c r="E21" s="2" t="s">
        <v>416</v>
      </c>
      <c r="F21" s="2" t="s">
        <v>417</v>
      </c>
      <c r="G21" s="2" t="s">
        <v>418</v>
      </c>
    </row>
    <row r="22" customFormat="false" ht="23.85" hidden="false" customHeight="false" outlineLevel="0" collapsed="false">
      <c r="A22" s="2" t="s">
        <v>419</v>
      </c>
      <c r="B22" s="2" t="s">
        <v>324</v>
      </c>
      <c r="C22" s="2" t="s">
        <v>420</v>
      </c>
      <c r="D22" s="2" t="s">
        <v>326</v>
      </c>
      <c r="E22" s="2" t="s">
        <v>421</v>
      </c>
      <c r="F22" s="2" t="s">
        <v>379</v>
      </c>
      <c r="G22" s="2" t="s">
        <v>380</v>
      </c>
    </row>
    <row r="23" customFormat="false" ht="57.45" hidden="false" customHeight="false" outlineLevel="0" collapsed="false">
      <c r="A23" s="2" t="s">
        <v>422</v>
      </c>
      <c r="B23" s="2" t="s">
        <v>324</v>
      </c>
      <c r="C23" s="2" t="s">
        <v>382</v>
      </c>
      <c r="D23" s="2" t="s">
        <v>423</v>
      </c>
      <c r="E23" s="2" t="s">
        <v>424</v>
      </c>
      <c r="F23" s="2" t="s">
        <v>425</v>
      </c>
      <c r="G23" s="2" t="s">
        <v>380</v>
      </c>
    </row>
    <row r="24" customFormat="false" ht="23.85" hidden="false" customHeight="false" outlineLevel="0" collapsed="false">
      <c r="A24" s="2" t="s">
        <v>426</v>
      </c>
      <c r="B24" s="2" t="s">
        <v>324</v>
      </c>
      <c r="C24" s="2" t="s">
        <v>427</v>
      </c>
      <c r="D24" s="2" t="s">
        <v>387</v>
      </c>
      <c r="E24" s="2" t="s">
        <v>428</v>
      </c>
      <c r="F24" s="2" t="s">
        <v>389</v>
      </c>
      <c r="G24" s="2" t="s">
        <v>354</v>
      </c>
    </row>
    <row r="25" customFormat="false" ht="57.45" hidden="false" customHeight="false" outlineLevel="0" collapsed="false">
      <c r="A25" s="2" t="s">
        <v>429</v>
      </c>
      <c r="B25" s="2" t="s">
        <v>324</v>
      </c>
      <c r="C25" s="2" t="s">
        <v>430</v>
      </c>
      <c r="D25" s="2" t="s">
        <v>342</v>
      </c>
      <c r="E25" s="2" t="s">
        <v>431</v>
      </c>
      <c r="F25" s="2" t="s">
        <v>432</v>
      </c>
      <c r="G25" s="2" t="s">
        <v>433</v>
      </c>
    </row>
    <row r="26" customFormat="false" ht="46.25" hidden="false" customHeight="false" outlineLevel="0" collapsed="false">
      <c r="A26" s="2" t="s">
        <v>434</v>
      </c>
      <c r="B26" s="2" t="s">
        <v>324</v>
      </c>
      <c r="C26" s="2" t="s">
        <v>382</v>
      </c>
      <c r="D26" s="2" t="s">
        <v>342</v>
      </c>
      <c r="E26" s="2" t="s">
        <v>435</v>
      </c>
      <c r="F26" s="2" t="s">
        <v>436</v>
      </c>
      <c r="G26" s="2" t="s">
        <v>380</v>
      </c>
    </row>
    <row r="27" customFormat="false" ht="35.05" hidden="false" customHeight="false" outlineLevel="0" collapsed="false">
      <c r="A27" s="2" t="s">
        <v>437</v>
      </c>
      <c r="B27" s="2" t="s">
        <v>324</v>
      </c>
      <c r="C27" s="2" t="s">
        <v>367</v>
      </c>
      <c r="D27" s="2" t="s">
        <v>342</v>
      </c>
      <c r="E27" s="2" t="s">
        <v>438</v>
      </c>
      <c r="F27" s="2" t="s">
        <v>439</v>
      </c>
      <c r="G27" s="2" t="s">
        <v>440</v>
      </c>
    </row>
    <row r="28" customFormat="false" ht="23.85" hidden="false" customHeight="false" outlineLevel="0" collapsed="false">
      <c r="A28" s="2" t="s">
        <v>441</v>
      </c>
      <c r="B28" s="2" t="s">
        <v>324</v>
      </c>
      <c r="C28" s="2" t="s">
        <v>411</v>
      </c>
      <c r="D28" s="2" t="s">
        <v>337</v>
      </c>
      <c r="E28" s="2" t="s">
        <v>442</v>
      </c>
      <c r="F28" s="2" t="s">
        <v>443</v>
      </c>
      <c r="G28" s="2" t="s">
        <v>444</v>
      </c>
    </row>
    <row r="29" customFormat="false" ht="23.85" hidden="false" customHeight="false" outlineLevel="0" collapsed="false">
      <c r="A29" s="2" t="s">
        <v>445</v>
      </c>
      <c r="B29" s="2" t="s">
        <v>324</v>
      </c>
      <c r="C29" s="2" t="s">
        <v>376</v>
      </c>
      <c r="D29" s="2" t="s">
        <v>423</v>
      </c>
      <c r="E29" s="2" t="s">
        <v>446</v>
      </c>
      <c r="F29" s="2" t="s">
        <v>447</v>
      </c>
      <c r="G29" s="2" t="s">
        <v>380</v>
      </c>
    </row>
    <row r="30" customFormat="false" ht="23.85" hidden="false" customHeight="false" outlineLevel="0" collapsed="false">
      <c r="A30" s="2" t="s">
        <v>448</v>
      </c>
      <c r="B30" s="2" t="s">
        <v>324</v>
      </c>
      <c r="C30" s="2" t="s">
        <v>449</v>
      </c>
      <c r="D30" s="2" t="s">
        <v>387</v>
      </c>
      <c r="E30" s="2" t="s">
        <v>450</v>
      </c>
      <c r="F30" s="2" t="s">
        <v>389</v>
      </c>
      <c r="G30" s="2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2026-07-28T13:39:30Z</dcterms:created>
  <dc:creator>openpyxl</dc:creator>
  <dc:description/>
  <dc:language>en-US</dc:language>
  <cp:lastModifiedBy/>
  <dcterms:modified xsi:type="dcterms:W3CDTF">2026-07-28T13:39:30Z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