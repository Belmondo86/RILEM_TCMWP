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in Table" sheetId="2" state="visible" r:id="rId4"/>
    <sheet name="Summary Tables" sheetId="3" state="visible" r:id="rId5"/>
    <sheet name="Score Distributions" sheetId="4" state="visible" r:id="rId6"/>
    <sheet name="No explicit UT-IRT" sheetId="5" state="visible" r:id="rId7"/>
    <sheet name="Empty Colum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<sst xmlns="http://schemas.openxmlformats.org/spreadsheetml/2006/main" count="5050" uniqueCount="2205">
  <si>
    <t xml:space="preserve">TC 331-MWP — Classification of 155 literature-review forms</t>
  </si>
  <si>
    <t xml:space="preserve">Source: worksheet "Final for analysis AI and code" of TC_RILEM_Form_TX_AKLB_FULL VERSION.xlsx. Only form content was used; original papers and external sources were not consulted.</t>
  </si>
  <si>
    <t xml:space="preserve">IMPORTANT: Reviewer Assessment is used ONLY as a tie-break criterion and does not affect the technical contribution scores.</t>
  </si>
  <si>
    <t xml:space="preserve">All classification rules are stored in the editable AI_tables/*.csv files of the mwp_contribution module — correct the tables, not the code, then rerun run_classify.py to regenerate this workbook and all figures.</t>
  </si>
  <si>
    <t xml:space="preserve">Colour code (Main Table):</t>
  </si>
  <si>
    <t xml:space="preserve">  Blue = Application Contribution</t>
  </si>
  <si>
    <t xml:space="preserve">  Green = Experimental Methodology Contribution</t>
  </si>
  <si>
    <t xml:space="preserve">  Red = Data Analysis Contribution</t>
  </si>
  <si>
    <t xml:space="preserve">  Light red = Signal Processing / Property Complexity / Identification Method (sub-components of Data Analysis)</t>
  </si>
  <si>
    <t xml:space="preserve">  Purple = Rheological Modelling (descriptive/supporting only)</t>
  </si>
  <si>
    <t xml:space="preserve">  Orange = Reviewer Assessment (tie-break only)</t>
  </si>
  <si>
    <t xml:space="preserve">Scoring rules (deterministic, keyword-based on form text; "No / Not reported / N/A" never earns credit):</t>
  </si>
  <si>
    <t xml:space="preserve">  Application 0-3: count of application evidence items (see AI_table_application_keywords.csv, plus conventional-test comparison, multiple material types and multi-temperature detection). 0 items=0; 1=1; 2-3=2; &gt;=4 or conventional validation with &gt;=4 items=3.</t>
  </si>
  <si>
    <t xml:space="preserve">  Methodology 0-3: count of informative test-parameter fields (IR: EF-EL; UT: GM-GS and NA-NG). 0=0; 1-2=1; 3-5=2; &gt;=6=3.</t>
  </si>
  <si>
    <t xml:space="preserve">  Signal Processing 0-2 (IR: EN-EP+comments; UT: GU-GW, NI-NK+comments): advanced technique or &gt;=3 basic techniques = 2; any basic = 1; none = 0. See AI_table_signal_processing.csv.</t>
  </si>
  <si>
    <t xml:space="preserve">  Property Complexity 0-3 (ER, GY, NM): constitutive parameters or &gt;=2 viscoelastic properties = 3; one viscoelastic = 2; mechanical = 1; basic wave output = 0. See AI_table_property_complexity.csv.</t>
  </si>
  <si>
    <t xml:space="preserve">  Identification Method 0-3 (IR: ES-EX; UT: GZ-HG, NN-NU): inverse/back-analysis = 3; FRF/modal/peak-based = 2; closed-form/analytical/empirical = 1; not described = 0. See AI_table_identification_method.csv.</t>
  </si>
  <si>
    <t xml:space="preserve">  Data Analysis 0-3: 3 requires meaningful property (PropC&gt;=1) AND IdM=3. 2 requires meaningful property AND sufficiently described processing/identification. 1 = basic/direct chain. 0 = no chain.</t>
  </si>
  <si>
    <t xml:space="preserve">  Rheological Modelling 0-2 (AAY-ABC): model reported = 1; + TTSP / shift factors / master-curve purpose = 2. Descriptive only.</t>
  </si>
  <si>
    <t xml:space="preserve">  Primary Contribution = highest of Application / Methodology / Data Analysis. Ties resolved by ABK/ABL emphasis only (AI_table_tiebreak_keywords.csv); if still tied, richer form evidence is used and confidence is flagged Low.</t>
  </si>
  <si>
    <t xml:space="preserve">  Secondary Contribution reported only when the second-highest technical score is &gt;= 2.</t>
  </si>
  <si>
    <t xml:space="preserve">When information is unclear the tables state "Unclear from the review form" / "Not reported" instead of assumptions.</t>
  </si>
  <si>
    <t xml:space="preserve">Paper ID</t>
  </si>
  <si>
    <t xml:space="preserve">Authors</t>
  </si>
  <si>
    <t xml:space="preserve">Year</t>
  </si>
  <si>
    <t xml:space="preserve">Title</t>
  </si>
  <si>
    <t xml:space="preserve">MWP Technique</t>
  </si>
  <si>
    <t xml:space="preserve">Traditional test(s) also performed</t>
  </si>
  <si>
    <t xml:space="preserve">TC MWP Relevance</t>
  </si>
  <si>
    <t xml:space="preserve">Application Contribution Score (0-3)</t>
  </si>
  <si>
    <t xml:space="preserve">Application Evidence</t>
  </si>
  <si>
    <t xml:space="preserve">Experimental Methodology Contribution Score (0-3)</t>
  </si>
  <si>
    <t xml:space="preserve">Methodology Evidence</t>
  </si>
  <si>
    <t xml:space="preserve">Data Analysis Contribution Score (0-3)</t>
  </si>
  <si>
    <t xml:space="preserve">Signal Processing Score (0-2)</t>
  </si>
  <si>
    <t xml:space="preserve">Property Complexity Score (0-3)</t>
  </si>
  <si>
    <t xml:space="preserve">Identification Method Score (0-3)</t>
  </si>
  <si>
    <t xml:space="preserve">Signal Processing Type(s)</t>
  </si>
  <si>
    <t xml:space="preserve">Property / Output Type(s)</t>
  </si>
  <si>
    <t xml:space="preserve">Property Identification Method(s)</t>
  </si>
  <si>
    <t xml:space="preserve">Raw Property Description</t>
  </si>
  <si>
    <t xml:space="preserve">Raw Identification Method Description</t>
  </si>
  <si>
    <t xml:space="preserve">Rheological Modelling Score (0-2)</t>
  </si>
  <si>
    <t xml:space="preserve">Rheological Model(s)</t>
  </si>
  <si>
    <t xml:space="preserve">Rheological Modelling Purpose</t>
  </si>
  <si>
    <t xml:space="preserve">Reviewer Support Score (0-2)</t>
  </si>
  <si>
    <t xml:space="preserve">ABK — Key Contribution</t>
  </si>
  <si>
    <t xml:space="preserve">ABL — Reviewer Notes</t>
  </si>
  <si>
    <t xml:space="preserve">Primary Contribution</t>
  </si>
  <si>
    <t xml:space="preserve">Secondary Contribution</t>
  </si>
  <si>
    <t xml:space="preserve">Tie-break Used?</t>
  </si>
  <si>
    <t xml:space="preserve">Tie-break Reason</t>
  </si>
  <si>
    <t xml:space="preserve">Classification Confidence</t>
  </si>
  <si>
    <t xml:space="preserve">Material Type(s)</t>
  </si>
  <si>
    <t xml:space="preserve">Specimen Geometry Type(s)</t>
  </si>
  <si>
    <t xml:space="preserve">Classification Rationale</t>
  </si>
  <si>
    <t xml:space="preserve">P168</t>
  </si>
  <si>
    <t xml:space="preserve">Pratico, F.G. and Pellicano, G. and Bolognese, M. and Licitra, G.</t>
  </si>
  <si>
    <t xml:space="preserve">2023</t>
  </si>
  <si>
    <t xml:space="preserve">A STUDY ON FREQUENCY RESPONSE FUNCTIONS IN PAVEMENT ENGINEERING</t>
  </si>
  <si>
    <t xml:space="preserve">IR</t>
  </si>
  <si>
    <t xml:space="preserve">None reported</t>
  </si>
  <si>
    <t xml:space="preserve">High</t>
  </si>
  <si>
    <t xml:space="preserve">multiple material types (2); additives/modifiers</t>
  </si>
  <si>
    <t xml:space="preserve">excitation source (IR); sensors (IR); vibration modes (IR); repetitions (IR)</t>
  </si>
  <si>
    <t xml:space="preserve">FFT</t>
  </si>
  <si>
    <t xml:space="preserve">mechanical impedance</t>
  </si>
  <si>
    <t xml:space="preserve">Domain reported only</t>
  </si>
  <si>
    <t xml:space="preserve">Mechanical Impedance</t>
  </si>
  <si>
    <t xml:space="preserve">Not reported</t>
  </si>
  <si>
    <t xml:space="preserve">None</t>
  </si>
  <si>
    <t xml:space="preserve">Methodology of experiments and signal processing</t>
  </si>
  <si>
    <t xml:space="preserve">Testing Methodology Focus</t>
  </si>
  <si>
    <t xml:space="preserve">Data Analysis Type</t>
  </si>
  <si>
    <t xml:space="preserve">Yes</t>
  </si>
  <si>
    <t xml:space="preserve">Scores tied at 2; ABK/ABL not decisive; richer form evidence favoured Testing Methodology Focus</t>
  </si>
  <si>
    <t xml:space="preserve">Low</t>
  </si>
  <si>
    <t xml:space="preserve">Hot Mixture Asphalt (HMA)</t>
  </si>
  <si>
    <t xml:space="preserve">Cylinder; Disc</t>
  </si>
  <si>
    <t xml:space="preserve">App=2, Meth=2, DA=2 (SigProc=1, PropC=1, IdM=1). Scores tied at 2; ABK/ABL not decisive; richer form evidence favoured Testing Methodology Focus.</t>
  </si>
  <si>
    <t xml:space="preserve">P162</t>
  </si>
  <si>
    <t xml:space="preserve">Carret, J.-C. and Di Benedetto, H. and Sauzeat, C.</t>
  </si>
  <si>
    <t xml:space="preserve">2020</t>
  </si>
  <si>
    <t xml:space="preserve">Linear viscoelastic behavior of asphalt mixes from dynamic frequency response functions</t>
  </si>
  <si>
    <t xml:space="preserve">Complex modulus (E*)</t>
  </si>
  <si>
    <t xml:space="preserve">conventional-test comparison (Complex modulus (E*))</t>
  </si>
  <si>
    <t xml:space="preserve">excitation source (IR); sensors (IR); boundary conditions (IR); vibration modes (IR); temperature (IR)</t>
  </si>
  <si>
    <t xml:space="preserve">Not described</t>
  </si>
  <si>
    <t xml:space="preserve">|E*| / dynamic modulus</t>
  </si>
  <si>
    <t xml:space="preserve">numerical inverse / back-analysis</t>
  </si>
  <si>
    <t xml:space="preserve">Norm of the complex modulus</t>
  </si>
  <si>
    <t xml:space="preserve">Numerical inverse analysis (FEM or other)</t>
  </si>
  <si>
    <t xml:space="preserve">2S2P1D</t>
  </si>
  <si>
    <t xml:space="preserve">Master curve construction, Validate the convergence and stability of the inverse method with a virtual/numerical reference</t>
  </si>
  <si>
    <t xml:space="preserve">No</t>
  </si>
  <si>
    <t xml:space="preserve">Single highest technical score</t>
  </si>
  <si>
    <t xml:space="preserve">App=1, Meth=2, DA=3 (SigProc=0, PropC=2, IdM=3). Single highest technical score.</t>
  </si>
  <si>
    <t xml:space="preserve">P30</t>
  </si>
  <si>
    <t xml:space="preserve">McGovern, M. and Behnia, B. and Hill, B. and Buttlar, W.G. and Reis, H.</t>
  </si>
  <si>
    <t xml:space="preserve">2014</t>
  </si>
  <si>
    <t xml:space="preserve">Characterization of oxidative aging in asphalt concrete pavements using its complex moduli</t>
  </si>
  <si>
    <t xml:space="preserve">UT</t>
  </si>
  <si>
    <t xml:space="preserve">aging</t>
  </si>
  <si>
    <t xml:space="preserve">configuration (UT); wave type (UT)</t>
  </si>
  <si>
    <t xml:space="preserve">wave velocity</t>
  </si>
  <si>
    <t xml:space="preserve">direct analytical / empirical equation</t>
  </si>
  <si>
    <t xml:space="preserve">P-waves/S-waves velocities</t>
  </si>
  <si>
    <t xml:space="preserve">Analytical method based on closed-form solutions of wave equations | Phase comparison method</t>
  </si>
  <si>
    <t xml:space="preserve">Master curve construction</t>
  </si>
  <si>
    <t xml:space="preserve">effect of aging + velocity in frequency domain</t>
  </si>
  <si>
    <t xml:space="preserve">Application Focus</t>
  </si>
  <si>
    <t xml:space="preserve">Scores tied at 1; ABK/ABL emphasis resolved to Application Focus</t>
  </si>
  <si>
    <t xml:space="preserve">Medium</t>
  </si>
  <si>
    <t xml:space="preserve">Other / special / unspecified</t>
  </si>
  <si>
    <t xml:space="preserve">App=1, Meth=1, DA=1 (SigProc=1, PropC=0, IdM=1). Scores tied at 1; ABK/ABL emphasis resolved to Application Focus.</t>
  </si>
  <si>
    <t xml:space="preserve">P132</t>
  </si>
  <si>
    <t xml:space="preserve">Tan, X. and Wu, C. and Li, L. and Li, H. and Liang, C. and Zhao, Y. and Li, H. and Zhao, J. and Wang, F.</t>
  </si>
  <si>
    <t xml:space="preserve">Sensitivity and Reliability Analysis of Ultrasonic Pulse Parameters in Evaluating the Laboratory Properties of Asphalt Mixtures</t>
  </si>
  <si>
    <t xml:space="preserve">Complex modulus (E*), Tensile test</t>
  </si>
  <si>
    <t xml:space="preserve">conventional-test comparison (Complex modulus (E*), Tensile test)</t>
  </si>
  <si>
    <t xml:space="preserve">configuration (UT); temperature (UT); wave type (UT)</t>
  </si>
  <si>
    <t xml:space="preserve">Analytical method based on closed-form solutions of wave equations</t>
  </si>
  <si>
    <t xml:space="preserve">Sigmoidal</t>
  </si>
  <si>
    <t xml:space="preserve">Analysis of amplitude of UPV</t>
  </si>
  <si>
    <t xml:space="preserve">Scores tied at 2; ABK/ABL not decisive; richer form evidence favoured Data Analysis Type</t>
  </si>
  <si>
    <t xml:space="preserve">Other / special / unspecified asphalt material</t>
  </si>
  <si>
    <t xml:space="preserve">Cylinder</t>
  </si>
  <si>
    <t xml:space="preserve">App=1, Meth=2, DA=2 (SigProc=1, PropC=2, IdM=1). Scores tied at 2; ABK/ABL not decisive; richer form evidence favoured Data Analysis Type.</t>
  </si>
  <si>
    <t xml:space="preserve">P68</t>
  </si>
  <si>
    <t xml:space="preserve">Karati, Sukanta and Kumar Roy, Tapas</t>
  </si>
  <si>
    <t xml:space="preserve">2024</t>
  </si>
  <si>
    <t xml:space="preserve">Evaluation of the Performance of Sawdust Ash in Bituminous Concrete against Moisture Damage</t>
  </si>
  <si>
    <t xml:space="preserve">multiple material types (4); moisture/conditioning; cracking/damage</t>
  </si>
  <si>
    <t xml:space="preserve">wave type (UT)</t>
  </si>
  <si>
    <t xml:space="preserve">Norm of the complex modulus, dynamic modulus</t>
  </si>
  <si>
    <t xml:space="preserve">App=2, Meth=1, DA=1 (SigProc=0, PropC=2, IdM=0). Single highest technical score.</t>
  </si>
  <si>
    <t xml:space="preserve">P175</t>
  </si>
  <si>
    <t xml:space="preserve">Gudmarsson, A and Ryden, N and Birgisson, B</t>
  </si>
  <si>
    <t xml:space="preserve">2012</t>
  </si>
  <si>
    <t xml:space="preserve">Application of resonant acoustic spectroscopy to asphalt concrete beams for determination of the dynamic modulus</t>
  </si>
  <si>
    <t xml:space="preserve">No application evidence identified in the form</t>
  </si>
  <si>
    <t xml:space="preserve">excitation source (IR); sensors (IR); boundary conditions (IR); vibration modes (IR); standard/reference (IR); repetitions (IR); temperature (IR); methodological comment (IR)</t>
  </si>
  <si>
    <t xml:space="preserve">FFT, averaging</t>
  </si>
  <si>
    <t xml:space="preserve">|E*| / dynamic modulus, phase angle, Poisson’s ratio</t>
  </si>
  <si>
    <t xml:space="preserve">numerical inverse / back-analysis, detailed signal-based (FRF/modal/peak-based), direct analytical / empirical equation</t>
  </si>
  <si>
    <t xml:space="preserve">Norm of the complex modulus, Phase angle of the complex modulus, Poisson’s ratio, OBS.: Poisson's ratio required empirical formulae from NCHRP.</t>
  </si>
  <si>
    <t xml:space="preserve">Analytical method based on closed-form solutions of wave equations, Numerical inverse analysis (FEM or other)</t>
  </si>
  <si>
    <t xml:space="preserve">Demonstrates that resonance tests are useful and repeatable to characterize E* mastercurves, especially when applying iterative methods of analysis.</t>
  </si>
  <si>
    <t xml:space="preserve">Scores tied at 3; ABK/ABL not decisive; richer form evidence favoured Data Analysis Type</t>
  </si>
  <si>
    <t xml:space="preserve">Prism / beam</t>
  </si>
  <si>
    <t xml:space="preserve">App=0, Meth=3, DA=3 (SigProc=1, PropC=3, IdM=3). Scores tied at 3; ABK/ABL not decisive; richer form evidence favoured Data Analysis Type.</t>
  </si>
  <si>
    <t xml:space="preserve">P174</t>
  </si>
  <si>
    <t xml:space="preserve">Boz, ilker and Solaimanian, Mansour</t>
  </si>
  <si>
    <t xml:space="preserve">2018</t>
  </si>
  <si>
    <t xml:space="preserve">Establishing Relationship Between Engineering Properties of Asphalt Concrete and Mix Parameters Using Impact Resonance Test</t>
  </si>
  <si>
    <t xml:space="preserve">multiple material types (3)</t>
  </si>
  <si>
    <t xml:space="preserve">sensors (IR); vibration modes (IR); repetitions (IR); temperature (IR); methodological comment (IR)</t>
  </si>
  <si>
    <t xml:space="preserve">resonant frequency</t>
  </si>
  <si>
    <t xml:space="preserve">natural frequency</t>
  </si>
  <si>
    <t xml:space="preserve">linear regression</t>
  </si>
  <si>
    <t xml:space="preserve">Predicted model using linear regresion (natural frequency as a polynomial fonction of input material parameters and temperature</t>
  </si>
  <si>
    <t xml:space="preserve">Linear regression</t>
  </si>
  <si>
    <t xml:space="preserve">Disc</t>
  </si>
  <si>
    <t xml:space="preserve">App=1, Meth=2, DA=1 (SigProc=1, PropC=0, IdM=1). Single highest technical score.</t>
  </si>
  <si>
    <t xml:space="preserve">P171</t>
  </si>
  <si>
    <t xml:space="preserve">Carret, J.-C. and Benedetto, H.D. and Sauzéat, C.</t>
  </si>
  <si>
    <t xml:space="preserve">2019</t>
  </si>
  <si>
    <t xml:space="preserve">Dynamic testing of asphalt mixes</t>
  </si>
  <si>
    <t xml:space="preserve">excitation source (IR); sensors (IR); boundary conditions (IR); vibration modes (IR); repetitions (IR); temperature (IR)</t>
  </si>
  <si>
    <t xml:space="preserve">|E*| / dynamic modulus, phase angle</t>
  </si>
  <si>
    <t xml:space="preserve">Norm of the complex modulus, Phase angle of the complex modulus</t>
  </si>
  <si>
    <t xml:space="preserve">Master curve construction, Comparison of results from different tests (e.g. between MWP tests and complex modulus tests)</t>
  </si>
  <si>
    <t xml:space="preserve">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t>
  </si>
  <si>
    <t xml:space="preserve">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t>
  </si>
  <si>
    <t xml:space="preserve">Scores tied at 3; ABK/ABL emphasis resolved to Data Analysis Type</t>
  </si>
  <si>
    <t xml:space="preserve">App=1, Meth=3, DA=3 (SigProc=1, PropC=3, IdM=3). Scores tied at 3; ABK/ABL emphasis resolved to Data Analysis Type.</t>
  </si>
  <si>
    <t xml:space="preserve">P142</t>
  </si>
  <si>
    <t xml:space="preserve">Cheng, Y.-C. and Zhang, P. and Wang, Y.-D. and Tao, J.-L. and Jiao, Y.-B.</t>
  </si>
  <si>
    <t xml:space="preserve">Ultrasonic evaluation and prediction of asphalt mixture damage under the coupling effects of water-temperature-radiation</t>
  </si>
  <si>
    <t xml:space="preserve">cracking/damage</t>
  </si>
  <si>
    <t xml:space="preserve">repetitions (UT); temperature (UT); wave type (UT); methodological comment (UT)</t>
  </si>
  <si>
    <t xml:space="preserve">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t>
  </si>
  <si>
    <t xml:space="preserve">App=1, Meth=2, DA=1 (SigProc=1, PropC=0, IdM=0). Single highest technical score.</t>
  </si>
  <si>
    <t xml:space="preserve">P121</t>
  </si>
  <si>
    <t xml:space="preserve">Liao, H and Sharma, A and Tavassoti, P and BAAJ, H and Transportation Association of Canada</t>
  </si>
  <si>
    <t xml:space="preserve">2022</t>
  </si>
  <si>
    <t xml:space="preserve">Rapid Assessment of High RAP Mix with Bio-based Rejuvenators Using Ultrasonic Pulse Velocity Testing and Hamburg Wheel Tracking Testing</t>
  </si>
  <si>
    <t xml:space="preserve">Rutting test</t>
  </si>
  <si>
    <t xml:space="preserve">conventional-test comparison (Rutting test); multiple material types (5); RAP/RAS or recycled materials; additives/modifiers</t>
  </si>
  <si>
    <t xml:space="preserve">central frequency (UT); configuration (UT); transducer type (UT); wave type (UT)</t>
  </si>
  <si>
    <t xml:space="preserve">FFT, windowing</t>
  </si>
  <si>
    <t xml:space="preserve">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t>
  </si>
  <si>
    <t xml:space="preserve">App=3, Meth=2, DA=1 (SigProc=1, PropC=0, IdM=1). Single highest technical score.</t>
  </si>
  <si>
    <t xml:space="preserve">P119</t>
  </si>
  <si>
    <t xml:space="preserve">Li, Long and Chen, Jun</t>
  </si>
  <si>
    <t xml:space="preserve">Quantification of tiny damage variation in asphalt mixture during the low-temperature thermal cycle</t>
  </si>
  <si>
    <t xml:space="preserve">central frequency (UT); configuration (UT); repetitions (UT); temperature (UT); wave type (UT)</t>
  </si>
  <si>
    <t xml:space="preserve">stiffness, wave velocity</t>
  </si>
  <si>
    <t xml:space="preserve">P-waves/S-waves velocities, Stiffness modulus and Nonlinear ultrasonic parameter β′</t>
  </si>
  <si>
    <t xml:space="preserve">Nonlinear SHG for tiny damage/recovery detection</t>
  </si>
  <si>
    <t xml:space="preserve">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t>
  </si>
  <si>
    <t xml:space="preserve">App=1, Meth=2, DA=2 (SigProc=1, PropC=1, IdM=1). Scores tied at 2; ABK/ABL not decisive; richer form evidence favoured Testing Methodology Focus.</t>
  </si>
  <si>
    <t xml:space="preserve">P39</t>
  </si>
  <si>
    <t xml:space="preserve">Pan, W.-H. and Sun, X.-D. and Wu, L.-M. and Yang, K.-K. and Tang, N.</t>
  </si>
  <si>
    <t xml:space="preserve">Damage detection of asphalt concrete using piezo-ultrasonicwave technology</t>
  </si>
  <si>
    <t xml:space="preserve">Three-point bending test</t>
  </si>
  <si>
    <t xml:space="preserve">conventional-test comparison (Three-point bending test); cracking/damage</t>
  </si>
  <si>
    <t xml:space="preserve">configuration (UT); temperature (UT); methodological comment (UT)</t>
  </si>
  <si>
    <t xml:space="preserve">ultrasonic velocity</t>
  </si>
  <si>
    <t xml:space="preserve">Demonstrated the applicability of ultrasonic wave velocity to assess multiple damage scenarios in asphalt concrete</t>
  </si>
  <si>
    <t xml:space="preserve">The study evaluates different scenarios, which broadens its practical relevance. However, it focuses only on wave velocity as the main indicator. In addition, some details regarding the testing procedures are not clearly reported.</t>
  </si>
  <si>
    <t xml:space="preserve">Disc; Prism / beam</t>
  </si>
  <si>
    <t xml:space="preserve">App=2, Meth=1, DA=1 (SigProc=0, PropC=0, IdM=1). Single highest technical score.</t>
  </si>
  <si>
    <t xml:space="preserve">P140</t>
  </si>
  <si>
    <t xml:space="preserve">Franesqui, M.Á. and Gallego, J.</t>
  </si>
  <si>
    <t xml:space="preserve">2015</t>
  </si>
  <si>
    <t xml:space="preserve">Auscultación de la fisuración descendente en pavimentos asfálticos mediante ultrasonidos (Top-down cracking depth assessment in asphalt pavements using ultrasonic testing)</t>
  </si>
  <si>
    <t xml:space="preserve">multiple material types (3); cracking/damage</t>
  </si>
  <si>
    <t xml:space="preserve">central frequency (UT); configuration (UT); repetitions (UT); temperature (UT); transducer type (UT); wave type (UT); methodological comment (UT)</t>
  </si>
  <si>
    <t xml:space="preserve">ToF</t>
  </si>
  <si>
    <t xml:space="preserve">Ratio of Time-of-Flight between flights longitudinal to cracks and crossing the cracks (longer distance to go around the crack) - used to calculate crack depth..</t>
  </si>
  <si>
    <t xml:space="preserve">Demonstration of use of UPV to detect crack depth (from Top-Down cracking) on a pavement.</t>
  </si>
  <si>
    <t xml:space="preserve">Attention, probably for bottom up cracking results would be very different.</t>
  </si>
  <si>
    <t xml:space="preserve">App=2, Meth=3, DA=1 (SigProc=0, PropC=0, IdM=1). Single highest technical score.</t>
  </si>
  <si>
    <t xml:space="preserve">P31</t>
  </si>
  <si>
    <t xml:space="preserve">In, Chi-Won and Kim, Jin-Yeon and Kurtis, Kimberly E. and Jacobs, Laurence J.</t>
  </si>
  <si>
    <t xml:space="preserve">2009</t>
  </si>
  <si>
    <t xml:space="preserve">Characterization of ultrasonic Rayleigh surface waves in asphaltic concrete</t>
  </si>
  <si>
    <t xml:space="preserve">central frequency (UT); configuration (UT); temperature (UT); transducer type (UT); wave type (UT); methodological comment (UT)</t>
  </si>
  <si>
    <t xml:space="preserve">spectral ratio, FFT, filtering, windowing</t>
  </si>
  <si>
    <t xml:space="preserve">wave velocity, attenuation</t>
  </si>
  <si>
    <t xml:space="preserve">Rayleigh wave phase velocity, Attenuation coefficient</t>
  </si>
  <si>
    <t xml:space="preserve">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t>
  </si>
  <si>
    <t xml:space="preserve">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t>
  </si>
  <si>
    <t xml:space="preserve">App=0, Meth=2, DA=1 (SigProc=2, PropC=0, IdM=1). Single highest technical score.</t>
  </si>
  <si>
    <t xml:space="preserve">P159</t>
  </si>
  <si>
    <t xml:space="preserve">Carret, Jean-Claude and Pedraza, Alvaro and Di Benedetto, Hervé and Sauzeat, Cédric</t>
  </si>
  <si>
    <t xml:space="preserve">Comparison of the 3-dim linear viscoelastic behavior of asphalt mixes determined with tension-compression and dynamic tests</t>
  </si>
  <si>
    <t xml:space="preserve">excitation source (IR); sensors (IR); boundary conditions (IR); vibration modes (IR); repetitions (IR); temperature (IR); methodological comment (IR)</t>
  </si>
  <si>
    <t xml:space="preserve">coherence, FFT</t>
  </si>
  <si>
    <t xml:space="preserve">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t>
  </si>
  <si>
    <t xml:space="preserve">App=1, Meth=3, DA=3 (SigProc=2, PropC=3, IdM=3). Scores tied at 3; ABK/ABL emphasis resolved to Data Analysis Type.</t>
  </si>
  <si>
    <t xml:space="preserve">P127</t>
  </si>
  <si>
    <t xml:space="preserve">Li, F. and Shen, C. and Li, Y. and Li, H.</t>
  </si>
  <si>
    <t xml:space="preserve">2006</t>
  </si>
  <si>
    <t xml:space="preserve">Research on damage of asphalt concrete by ultrasonic inspection method</t>
  </si>
  <si>
    <t xml:space="preserve">Fatigue test, CT scanning</t>
  </si>
  <si>
    <t xml:space="preserve">conventional-test comparison (Fatigue test, CT scanning); cracking/damage</t>
  </si>
  <si>
    <t xml:space="preserve">configuration (UT); transducer type (UT); wave type (UT)</t>
  </si>
  <si>
    <t xml:space="preserve">Application of ultrasonic velocity measurements to evaluate damage in asphalt concrete, establishing an exponential relationship between velocity reduction and damage, and demonstrating the feasibility of using ultrasonic methods for crack depth detection.</t>
  </si>
  <si>
    <t xml:space="preserve">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t>
  </si>
  <si>
    <t xml:space="preserve">Scores tied at 2; ABK/ABL emphasis resolved to Application Focus</t>
  </si>
  <si>
    <t xml:space="preserve">App=2, Meth=2, DA=1 (SigProc=0, PropC=0, IdM=0). Scores tied at 2; ABK/ABL emphasis resolved to Application Focus.</t>
  </si>
  <si>
    <t xml:space="preserve">P79</t>
  </si>
  <si>
    <t xml:space="preserve">Jiang, Z.-Y. and Ponniah, J. and Cascante, G.</t>
  </si>
  <si>
    <t xml:space="preserve">Improved ultrasonic pulse velocity technique for bituminous material characterization</t>
  </si>
  <si>
    <t xml:space="preserve">wavelet, time-frequency, FFT, windowing</t>
  </si>
  <si>
    <t xml:space="preserve">Young’s/elastic modulus, wave velocity</t>
  </si>
  <si>
    <t xml:space="preserve">P-waves/S-waves velocities, Elastic modulus</t>
  </si>
  <si>
    <t xml:space="preserve">Demonstra que os parâmetros ultrassônicos são sensíveis a alterações na rigidez e compactação da mistura asfáltica e apresenta uma correlação moderada com os resultados do módulo dinâmico.</t>
  </si>
  <si>
    <t xml:space="preserve">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t>
  </si>
  <si>
    <t xml:space="preserve">App=1, Meth=1, DA=2 (SigProc=2, PropC=1, IdM=1). Single highest technical score.</t>
  </si>
  <si>
    <t xml:space="preserve">P70</t>
  </si>
  <si>
    <t xml:space="preserve">Khanghahi, S.H. and Tortum, A.</t>
  </si>
  <si>
    <t xml:space="preserve">Examination of the possibility of using gilsonite in hot mix asphalt concrete</t>
  </si>
  <si>
    <t xml:space="preserve">repetitions (UT); standard/reference (UT); temperature (UT)</t>
  </si>
  <si>
    <t xml:space="preserve">Other output (see raw)</t>
  </si>
  <si>
    <t xml:space="preserve">E = 0.623 ∗ ρ ∗ V^2</t>
  </si>
  <si>
    <t xml:space="preserve">Ultrasonic Test on bituminous material.</t>
  </si>
  <si>
    <t xml:space="preserve">pp140, 144 &amp; 145</t>
  </si>
  <si>
    <t xml:space="preserve">App=0, Meth=2, DA=1 (SigProc=0, PropC=0, IdM=0). Single highest technical score.</t>
  </si>
  <si>
    <t xml:space="preserve">P86</t>
  </si>
  <si>
    <t xml:space="preserve">Adesina, A. and Das, S.</t>
  </si>
  <si>
    <t xml:space="preserve">Influence of Various Recycled Aggregates on the Compressive Strength, Thermal Conductivity, Water Sorption and UPV of Fibre-Reinforced Composites</t>
  </si>
  <si>
    <t xml:space="preserve">RAP/RAS or recycled materials</t>
  </si>
  <si>
    <t xml:space="preserve">Test parameters not documented in the form</t>
  </si>
  <si>
    <t xml:space="preserve">influence of aggregate type on ultrasonic pulse velocity of concrete.</t>
  </si>
  <si>
    <t xml:space="preserve">Non-asphalt concrete material</t>
  </si>
  <si>
    <t xml:space="preserve">App=1, Meth=0, DA=0 (SigProc=0, PropC=0, IdM=0). Single highest technical score.</t>
  </si>
  <si>
    <t xml:space="preserve">P118</t>
  </si>
  <si>
    <t xml:space="preserve">Al-Mufti, R. Latif and Fried, A.N.</t>
  </si>
  <si>
    <t xml:space="preserve">2016</t>
  </si>
  <si>
    <t xml:space="preserve">Pulse velocity assessment of early age creep of concrete</t>
  </si>
  <si>
    <t xml:space="preserve">RAP/RAS or recycled materials; aging</t>
  </si>
  <si>
    <t xml:space="preserve">central frequency (UT); transducer type (UT)</t>
  </si>
  <si>
    <t xml:space="preserve">wave velocity, ToF</t>
  </si>
  <si>
    <t xml:space="preserve">P-waves/S-waves velocities, Only flying time is obtained</t>
  </si>
  <si>
    <t xml:space="preserve">Cylinder; Prism / beam</t>
  </si>
  <si>
    <t xml:space="preserve">App=2, Meth=1, DA=1 (SigProc=0, PropC=0, IdM=0). Single highest technical score.</t>
  </si>
  <si>
    <t xml:space="preserve">P102</t>
  </si>
  <si>
    <t xml:space="preserve">Biligiri, K.P. and Way, G.B.</t>
  </si>
  <si>
    <t xml:space="preserve">Noise-damping characteristics of different pavement surface wearing courses</t>
  </si>
  <si>
    <t xml:space="preserve">multiple material types (2)</t>
  </si>
  <si>
    <t xml:space="preserve">DAMP was developed mainly to characterise fundamental acoustical properties of the different road surface course materials</t>
  </si>
  <si>
    <t xml:space="preserve">Hot Mixture Asphalt (HMA); Non-asphalt concrete material</t>
  </si>
  <si>
    <t xml:space="preserve">In situ / pavement</t>
  </si>
  <si>
    <t xml:space="preserve">P134</t>
  </si>
  <si>
    <t xml:space="preserve">Di Benedetto, H. and Sauzéat, C. and Sohm, J.</t>
  </si>
  <si>
    <t xml:space="preserve">Stiffness of bituminous mixtures using ultrasonic wave propagation</t>
  </si>
  <si>
    <t xml:space="preserve">conventional-test comparison (Complex modulus (E*)); multiple material types (2); temperature effects (multiple temperatures)</t>
  </si>
  <si>
    <t xml:space="preserve">configuration (UT); repetitions (UT); temperature (UT); transducer type (UT); wave type (UT)</t>
  </si>
  <si>
    <t xml:space="preserve">wave propagation, correlation to push-pull complex modulus test</t>
  </si>
  <si>
    <t xml:space="preserve">Scores tied at 2; ABK/ABL not decisive; richer form evidence favoured Application Focus</t>
  </si>
  <si>
    <t xml:space="preserve">App=2, Meth=2, DA=2 (SigProc=1, PropC=2, IdM=1). Scores tied at 2; ABK/ABL not decisive; richer form evidence favoured Application Focus.</t>
  </si>
  <si>
    <t xml:space="preserve">P94</t>
  </si>
  <si>
    <t xml:space="preserve">Shah, Syyed Adnan Raheel and Anwar, Muhammad Kashif and Arshad, Hunain and Qurashi, Muhammad Ahmed and Nisar, Aqsa and Khan, Asfar Nasir and Waseem, Muhammad</t>
  </si>
  <si>
    <t xml:space="preserve">Marshall stability and flow analysis of asphalt concrete under progressive temperature conditions: An application of advance decision-making approach</t>
  </si>
  <si>
    <t xml:space="preserve">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t>
  </si>
  <si>
    <t xml:space="preserve">Scores tied at 0; ABK/ABL not decisive; richer form evidence favoured Application Focus</t>
  </si>
  <si>
    <t xml:space="preserve">App=0, Meth=0, DA=0 (SigProc=0, PropC=0, IdM=0). Scores tied at 0; ABK/ABL not decisive; richer form evidence favoured Application Focus.</t>
  </si>
  <si>
    <t xml:space="preserve">P165</t>
  </si>
  <si>
    <t xml:space="preserve">Gudmarsson, A. and Ryden, N. and Birgisson, B.</t>
  </si>
  <si>
    <t xml:space="preserve">2013</t>
  </si>
  <si>
    <t xml:space="preserve">Nondestructive evaluation of the complex modulus master curve of asphalt concrete specimens</t>
  </si>
  <si>
    <t xml:space="preserve">QC / NDE</t>
  </si>
  <si>
    <t xml:space="preserve">FRF, FFT</t>
  </si>
  <si>
    <t xml:space="preserve">Havriliak–Negami</t>
  </si>
  <si>
    <t xml:space="preserve">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t>
  </si>
  <si>
    <t xml:space="preserve">App=1, Meth=2, DA=3 (SigProc=2, PropC=2, IdM=3). Single highest technical score.</t>
  </si>
  <si>
    <t xml:space="preserve">P13</t>
  </si>
  <si>
    <t xml:space="preserve">Tauste, R. and Moreno-Navarro, F. and Gallego, R. and Rubio-Gámez, M.C.</t>
  </si>
  <si>
    <t xml:space="preserve">2017</t>
  </si>
  <si>
    <t xml:space="preserve">Analysis of the sensitivity of the impact resonance frequency test as a tool to determine the elastic properties of bituminous materials</t>
  </si>
  <si>
    <t xml:space="preserve">DSR (G*) on the two bitumen</t>
  </si>
  <si>
    <t xml:space="preserve">conventional-test comparison (DSR (G*) on the two bitumen); additives/modifiers; temperature effects (multiple temperatures)</t>
  </si>
  <si>
    <t xml:space="preserve">|E*| / dynamic modulus, damping</t>
  </si>
  <si>
    <t xml:space="preserve">Norm of the complex modulus, Damping</t>
  </si>
  <si>
    <t xml:space="preserve">Evaluation of the repeatability and reproducibility of IRT over a wide range of temperatures for one mixture made with two distinct bitumen. The effect of the specimen length was also evaluated.</t>
  </si>
  <si>
    <t xml:space="preserve">App=2, Meth=3, DA=2 (SigProc=1, PropC=3, IdM=1). Single highest technical score.</t>
  </si>
  <si>
    <t xml:space="preserve">P22</t>
  </si>
  <si>
    <t xml:space="preserve">Lu, Y. and Maia, R.S. and Hajj, R.M.</t>
  </si>
  <si>
    <t xml:space="preserve">Backcalculation of asphalt concrete Poisson’s ratio using the ultrasonic pulse velocity test</t>
  </si>
  <si>
    <t xml:space="preserve">conventional-test comparison (Complex modulus (E*)); multiple material types (4); RAP/RAS or recycled materials</t>
  </si>
  <si>
    <t xml:space="preserve">central frequency (UT); configuration (UT); standard/reference (UT); temperature (UT); transducer type (UT); wave type (UT); methodological comment (UT)</t>
  </si>
  <si>
    <t xml:space="preserve">Shift factor from different bitumen (same mix design) + comparision with Ultrasonic testing</t>
  </si>
  <si>
    <t xml:space="preserve">a total of 28 materials</t>
  </si>
  <si>
    <t xml:space="preserve">App=2, Meth=3, DA=0 (SigProc=0, PropC=0, IdM=0). Single highest technical score.</t>
  </si>
  <si>
    <t xml:space="preserve">P106</t>
  </si>
  <si>
    <t xml:space="preserve">Jiang, Z. and Ponniah, J. and Cascante, G. and Haas, R.</t>
  </si>
  <si>
    <t xml:space="preserve">2011</t>
  </si>
  <si>
    <t xml:space="preserve">Nondestructive ultrasonic testing methodology for condition assessment of hot mix asphalt specimens</t>
  </si>
  <si>
    <t xml:space="preserve">conventional-test comparison (Complex modulus (E*)); multiple material types (2); additives/modifiers</t>
  </si>
  <si>
    <t xml:space="preserve">central frequency (UT); configuration (UT); repetitions (UT); standard/reference (UT); temperature (UT); transducer type (UT); wave type (UT)</t>
  </si>
  <si>
    <t xml:space="preserve">coherence, FFT, windowing</t>
  </si>
  <si>
    <t xml:space="preserve">P-waves/S-waves velocities, Constrained Modulus (M), Peak-to-Peak Amplitude, Maximum Fourier Spectrum Magnitude, Spectrum Area, and Dominant Frequency</t>
  </si>
  <si>
    <t xml:space="preserve">Analytical method based on closed-form solutions of wave equations | Threshold method</t>
  </si>
  <si>
    <t xml:space="preserve">Comparison of results from different tests (e.g. between MWP tests and complex modulus tests)</t>
  </si>
  <si>
    <t xml:space="preserve">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t>
  </si>
  <si>
    <t xml:space="preserve">App=2, Meth=3, DA=1 (SigProc=2, PropC=0, IdM=1). Single highest technical score.</t>
  </si>
  <si>
    <t xml:space="preserve">P10</t>
  </si>
  <si>
    <t xml:space="preserve">Li, M. and Anderson, N.L. and Sneed, L.H. and Kang, X.</t>
  </si>
  <si>
    <t xml:space="preserve">An Assessment of Concrete over Asphalt Pavement Using Both the Ultrasonic Surface Wave and Impact Echo Techniques</t>
  </si>
  <si>
    <t xml:space="preserve">Ultrasonic Surface Waves (USW), Impact-Echo (IE), Static Elastic Modulus (ASTM C469), Compressive Strength (ASTM C39)</t>
  </si>
  <si>
    <t xml:space="preserve">conventional-test comparison (Ultrasonic Surface Waves (USW), Impact-Echo (IE), Static Elastic Modulus (ASTM C469)); multiple material types (3)</t>
  </si>
  <si>
    <t xml:space="preserve">central frequency (UT); configuration (UT); wave type (UT)</t>
  </si>
  <si>
    <t xml:space="preserve">windowing</t>
  </si>
  <si>
    <t xml:space="preserve">Young’s/elastic modulus</t>
  </si>
  <si>
    <t xml:space="preserve">dynamic Elastic Modulus</t>
  </si>
  <si>
    <t xml:space="preserve">Surgical Detection of Hidden Pathologies; Quantification of Stiffness Bias (Field vs. Laboratory); Survey Optimization Methodology</t>
  </si>
  <si>
    <t xml:space="preserve">Cement-treated or hybrid material; Hot Mixture Asphalt (HMA)</t>
  </si>
  <si>
    <t xml:space="preserve">Cylinder; In situ / pavement</t>
  </si>
  <si>
    <t xml:space="preserve">App=2, Meth=2, DA=2 (SigProc=1, PropC=1, IdM=1). Scores tied at 2; ABK/ABL not decisive; richer form evidence favoured Application Focus.</t>
  </si>
  <si>
    <t xml:space="preserve">P18</t>
  </si>
  <si>
    <t xml:space="preserve">Benaboud, Soufyane and Takarli, Mokhfi and Allou, Fatima and Pouteau, Bertrand and Hornych, Pierre and Nguyen, Mai-Lan</t>
  </si>
  <si>
    <t xml:space="preserve">2025</t>
  </si>
  <si>
    <t xml:space="preserve">Assessment of Residual Stiffness Modulus of Asphalt Mixes from In-Service Pavement by Ultrasonic Testing: Anisotropy and Traffic Load Effects</t>
  </si>
  <si>
    <t xml:space="preserve">Complex modulus (E*), Two-point bending test (2PB-TR); ultrasonic C-scan mapping; anisotropy analysis using multidirectional wave propagation</t>
  </si>
  <si>
    <t xml:space="preserve">conventional-test comparison (Complex modulus (E*), Two-point bending test (2PB-TR); ultrasonic C-scan mapping; anisotropy analysis using multidirectional wave propagation); RAP/RAS or recycled materials; additives/modifiers</t>
  </si>
  <si>
    <t xml:space="preserve">central frequency (UT); configuration (UT); repetitions (UT); standard/reference (UT); temperature (UT); transducer type (UT); wave type (UT); methodological comment (UT)</t>
  </si>
  <si>
    <t xml:space="preserve">FFT, ToF picking</t>
  </si>
  <si>
    <t xml:space="preserve">Norm of the complex modulus, Phase angle of the complex modulus, Poisson’s ratio</t>
  </si>
  <si>
    <t xml:space="preserve">Analytical method based on closed-form solutions of wave equations | Threshold method, Hinkley criterion, AIC, Sliding maximum (MG) method</t>
  </si>
  <si>
    <t xml:space="preserve">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t>
  </si>
  <si>
    <t xml:space="preserve">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t>
  </si>
  <si>
    <t xml:space="preserve">Prism / beam; Slab / plate</t>
  </si>
  <si>
    <t xml:space="preserve">P84</t>
  </si>
  <si>
    <t xml:space="preserve">Grilli, A. and Bocci, E. and Graziani, A.</t>
  </si>
  <si>
    <t xml:space="preserve">Influence of reclaimed asphalt content on the mechanical behaviour of cement-treated mixtures</t>
  </si>
  <si>
    <t xml:space="preserve">Complex modulus (E*), indirect tensile tests (ITTs) and unconﬁned compression tests (UCT)</t>
  </si>
  <si>
    <t xml:space="preserve">conventional-test comparison (Complex modulus (E*), indirect tensile tests (ITTs) and unconﬁned compression tests (UCT)); multiple material types (3); RAP/RAS or recycled materials</t>
  </si>
  <si>
    <t xml:space="preserve">central frequency (UT); configuration (UT); standard/reference (UT); temperature (UT); wave type (UT)</t>
  </si>
  <si>
    <t xml:space="preserve">Testing materials containing RAP, a cold-mix, cement-bonded material. Another application of the UT method.</t>
  </si>
  <si>
    <t xml:space="preserve">Cement-treated or hybrid material</t>
  </si>
  <si>
    <t xml:space="preserve">App=2, Meth=2, DA=2 (SigProc=0, PropC=2, IdM=1). Scores tied at 2; ABK/ABL emphasis resolved to Application Focus.</t>
  </si>
  <si>
    <t xml:space="preserve">P52</t>
  </si>
  <si>
    <t xml:space="preserve">Norambuena-Contreras, J. and Castro-Fresno, D. and Vega-Zamanillo, A. and Celaya, M. and Lombillo-Vozmediano, I.</t>
  </si>
  <si>
    <t xml:space="preserve">2010</t>
  </si>
  <si>
    <t xml:space="preserve">Dynamic modulus of asphalt mixture by ultrasonic direct test</t>
  </si>
  <si>
    <t xml:space="preserve">conventional-test comparison (Complex modulus (E*)); multiple material types (2)</t>
  </si>
  <si>
    <t xml:space="preserve">|E*| / dynamic modulus, wave velocity</t>
  </si>
  <si>
    <t xml:space="preserve">Norm of the complex modulus, P-waves/S-waves velocities</t>
  </si>
  <si>
    <t xml:space="preserve">Sigmoidal, Pellinen and Witczak method</t>
  </si>
  <si>
    <t xml:space="preserve">Testing of asphalt concrete and porous asphalt mixtures.
Construction of a single master curve combining traditional testing in the 2-10 Hz frequency range and UT testing at 65 kHz (testing at only one temperature).</t>
  </si>
  <si>
    <t xml:space="preserve">App=2, Meth=3, DA=2 (SigProc=0, PropC=2, IdM=1). Single highest technical score.</t>
  </si>
  <si>
    <t xml:space="preserve">P36</t>
  </si>
  <si>
    <t xml:space="preserve">Wu, Y.C. and Cascante, G. and Pandey, M.D.</t>
  </si>
  <si>
    <t xml:space="preserve">Condition assessment of longitudinal pavement joints using ultrasonic surface waves</t>
  </si>
  <si>
    <t xml:space="preserve">wavelet, FFT</t>
  </si>
  <si>
    <t xml:space="preserve">the authors did not specify the mechanical parameters | Hilbert transform</t>
  </si>
  <si>
    <t xml:space="preserve">Study of surface cracks, quality of longitudinal/transverse joints.
Evaluation of the use of different washers/adhesives/weights for mounting sensors.</t>
  </si>
  <si>
    <t xml:space="preserve">App=0, Meth=3, DA=1 (SigProc=2, PropC=0, IdM=1). Single highest technical score.</t>
  </si>
  <si>
    <t xml:space="preserve">P92</t>
  </si>
  <si>
    <t xml:space="preserve">Biligiri, K.P. and Kaloush, K.E.</t>
  </si>
  <si>
    <t xml:space="preserve">Laboratory evaluation of noise - Dampening properties of asphalt mixtures</t>
  </si>
  <si>
    <t xml:space="preserve">central frequency (UT); configuration (UT); transducer type (UT); wave type (UT); methodological comment (UT)</t>
  </si>
  <si>
    <t xml:space="preserve">Beta distribution model</t>
  </si>
  <si>
    <t xml:space="preserve">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t>
  </si>
  <si>
    <t xml:space="preserve">The study demonstrated stronger integration between field noise performance and laboratory ultrasonic/rheological indicators than many earlier asphalt UT studies.
Use of phase angle master curves and predictive equations made the study distinguisable.</t>
  </si>
  <si>
    <t xml:space="preserve">App=1, Meth=2, DA=1 (SigProc=0, PropC=0, IdM=1). Single highest technical score.</t>
  </si>
  <si>
    <t xml:space="preserve">P45</t>
  </si>
  <si>
    <t xml:space="preserve">Mounier, Damien and Di Benedetto, Hervé and Sauzéat, Cédric</t>
  </si>
  <si>
    <t xml:space="preserve">Determination of bituminous mixtures linear properties using ultrasonic wave propagation</t>
  </si>
  <si>
    <t xml:space="preserve">IR/UT</t>
  </si>
  <si>
    <t xml:space="preserve">central frequency (UT); configuration (UT); repetitions (UT); temperature (UT); transducer type (UT); wave type (UT)</t>
  </si>
  <si>
    <t xml:space="preserve">|E*| / dynamic modulus, phase angle, Poisson’s ratio, wave velocity</t>
  </si>
  <si>
    <t xml:space="preserve">Norm of the complex modulus, Phase angle of the complex modulus, Poisson’s ratio, P-waves/S-waves velocities</t>
  </si>
  <si>
    <t xml:space="preserve">S-wave and P-wave measurement at the same time and comparing it with IR and Complex Modulus test results. Shedding light on phase angle and poisson's ratio and the impact of temperature on the viscoelastic characterization through NDT.</t>
  </si>
  <si>
    <t xml:space="preserve">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t>
  </si>
  <si>
    <t xml:space="preserve">App=1, Meth=3, DA=2 (SigProc=1, PropC=3, IdM=1). Single highest technical score.</t>
  </si>
  <si>
    <t xml:space="preserve">P28</t>
  </si>
  <si>
    <t xml:space="preserve">You, L. and You, Z. and Dai, Q. and Guo, S. and Wang, J. and Schultz, M.</t>
  </si>
  <si>
    <t xml:space="preserve">Characteristics of water-foamed asphalt mixture under multiple freeze-thaw cycles: Laboratory evaluation</t>
  </si>
  <si>
    <t xml:space="preserve">multiple material types (2); moisture/conditioning</t>
  </si>
  <si>
    <t xml:space="preserve">configuration (UT); transducer type (UT); wave type (UT); methodological comment (UT)</t>
  </si>
  <si>
    <t xml:space="preserve">Analytical method based on closed-form solutions of wave equations | Direct transmission time measurement / first arrival time</t>
  </si>
  <si>
    <t xml:space="preserve">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t>
  </si>
  <si>
    <t xml:space="preserve">This study focused primarily on freeze–thaw damage assessment and moisture susceptibility.</t>
  </si>
  <si>
    <t xml:space="preserve">Hot Mixture Asphalt (HMA); Warm Mixture Asphalt (WMA)</t>
  </si>
  <si>
    <t xml:space="preserve">App=2, Meth=2, DA=1 (SigProc=0, PropC=0, IdM=1). Scores tied at 2; ABK/ABL emphasis resolved to Application Focus.</t>
  </si>
  <si>
    <t xml:space="preserve">P29</t>
  </si>
  <si>
    <t xml:space="preserve">Tavassoti-Kheiry, Pezhouhan and Solaimanian, Mansour and Qui, Tong</t>
  </si>
  <si>
    <t xml:space="preserve">Characterization of High RAP/RAS Asphalt Mixtures Using Resonant Column Tests</t>
  </si>
  <si>
    <t xml:space="preserve">Other / not explicitly UT or IR</t>
  </si>
  <si>
    <t xml:space="preserve">Complex modulus (E*), Resonant Column Testing</t>
  </si>
  <si>
    <t xml:space="preserve">conventional-test comparison (Complex modulus (E*), Resonant Column Testing); multiple material types (3); RAP/RAS or recycled materials</t>
  </si>
  <si>
    <t xml:space="preserve">Providing an experimental means for determining higher asymptote of the Modulus master curve rather than relying on presumed values. Determination of Shear and Young's modulus directly. Demonstrated the effect of Poisson's ratio on the results</t>
  </si>
  <si>
    <t xml:space="preserve">comparison of modulus from wave based methods with conventional dynamic modulus. The concept is applicable to both UT and IR methods.</t>
  </si>
  <si>
    <t xml:space="preserve">App=2, Meth=0, DA=0 (SigProc=0, PropC=0, IdM=0). Single highest technical score.</t>
  </si>
  <si>
    <t xml:space="preserve">P149</t>
  </si>
  <si>
    <t xml:space="preserve">McGovern, M.E. and Behnia, B. and Buttlar, W.G. and Reis, H.</t>
  </si>
  <si>
    <t xml:space="preserve">Use of nonlinear acoustic measurements for estimation of fracture performance of aged asphalt mixtures</t>
  </si>
  <si>
    <t xml:space="preserve">Thermal cracking test, Acoustic Emission (AE)</t>
  </si>
  <si>
    <t xml:space="preserve">conventional-test comparison (Thermal cracking test, Acoustic Emission (AE)); aging</t>
  </si>
  <si>
    <t xml:space="preserve">Described (unclassified)</t>
  </si>
  <si>
    <t xml:space="preserve">P-waves/S-waves velocities, nonlinearity parameters Betha 1 and 2</t>
  </si>
  <si>
    <t xml:space="preserve">Threshold method</t>
  </si>
  <si>
    <t xml:space="preserve">Classical Fracture energy model for brittle materials Gf</t>
  </si>
  <si>
    <t xml:space="preserve">Nonlinear or collinear ultrasonic wave mixing was novel and unique and the application was well described to assess the sensitivity of the test parameters to aging and embrittlement</t>
  </si>
  <si>
    <t xml:space="preserve">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t>
  </si>
  <si>
    <t xml:space="preserve">App=2, Meth=3, DA=1 (SigProc=1, PropC=0, IdM=0). Single highest technical score.</t>
  </si>
  <si>
    <t xml:space="preserve">P93</t>
  </si>
  <si>
    <t xml:space="preserve">Arabani, M. and Kheiry, P.T. and Ferdosi, B.</t>
  </si>
  <si>
    <t xml:space="preserve">Laboratory evaluation of the effect of HMA Mixt parameters on ultrasonic pulse wave velocities</t>
  </si>
  <si>
    <t xml:space="preserve">Indirect Tensile Stiffness Modulus (ITSM) testing</t>
  </si>
  <si>
    <t xml:space="preserve">conventional-test comparison (Indirect Tensile Stiffness Modulus (ITSM) testing)</t>
  </si>
  <si>
    <t xml:space="preserve">zero-padding</t>
  </si>
  <si>
    <t xml:space="preserve">Sensitivity of the UT test to asphalt mixture parameters</t>
  </si>
  <si>
    <t xml:space="preserve">Constant poisson's ratio and temperature was used. Correlation to ITSM was established</t>
  </si>
  <si>
    <t xml:space="preserve">App=1, Meth=2, DA=2 (SigProc=1, PropC=2, IdM=1). Scores tied at 2; ABK/ABL not decisive; richer form evidence favoured Testing Methodology Focus.</t>
  </si>
  <si>
    <t xml:space="preserve">P44</t>
  </si>
  <si>
    <t xml:space="preserve">Kweon, G. and Richard Kim, Y.</t>
  </si>
  <si>
    <t xml:space="preserve">Determination of asphalt concrete complex modulus with impact resonance test</t>
  </si>
  <si>
    <t xml:space="preserve">conventional-test comparison (Complex modulus (E*)); temperature effects (multiple temperatures)</t>
  </si>
  <si>
    <t xml:space="preserve">excitation source (IR); sensors (IR); boundary conditions (IR); vibration modes (IR); standard/reference (IR); repetitions (IR); temperature (IR)</t>
  </si>
  <si>
    <t xml:space="preserve">|E*| / dynamic modulus, phase angle, damping, storage/loss modulus, Young’s/elastic modulus, resonant frequency</t>
  </si>
  <si>
    <t xml:space="preserve">Norm of the complex modulus, Phase angle of the complex modulus, Young’s modulus, Storage modulus, Damping ratio, Resonant frequency</t>
  </si>
  <si>
    <t xml:space="preserve">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t>
  </si>
  <si>
    <t xml:space="preserve">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t>
  </si>
  <si>
    <t xml:space="preserve">P111</t>
  </si>
  <si>
    <t xml:space="preserve">Carret, J.-C. and Babadopulos, L.</t>
  </si>
  <si>
    <t xml:space="preserve">Opening Letter of RILEM TC MWP: Mechanical wave propagation to characterize bituminous mixtures</t>
  </si>
  <si>
    <t xml:space="preserve">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t>
  </si>
  <si>
    <t xml:space="preserve">Scores tied at 0; ABK/ABL emphasis resolved to Testing Methodology Focus</t>
  </si>
  <si>
    <t xml:space="preserve">App=0, Meth=0, DA=0 (SigProc=0, PropC=0, IdM=0). Scores tied at 0; ABK/ABL emphasis resolved to Testing Methodology Focus.</t>
  </si>
  <si>
    <t xml:space="preserve">P95</t>
  </si>
  <si>
    <t xml:space="preserve">Van Velsor, J.K. and Premkumar, L. and Chehab, G. and Rose, J.L.</t>
  </si>
  <si>
    <t xml:space="preserve">Measuring the complex modulus of asphalt concrete using ultrasonic testing</t>
  </si>
  <si>
    <t xml:space="preserve">indirect tensile test (IDT)</t>
  </si>
  <si>
    <t xml:space="preserve">conventional-test comparison (indirect tensile test (IDT)); additives/modifiers</t>
  </si>
  <si>
    <t xml:space="preserve">|E*| / dynamic modulus, phase angle, wave velocity</t>
  </si>
  <si>
    <t xml:space="preserve">Norm of the complex modulus, Phase angle of the complex modulus, P-waves/S-waves velocities</t>
  </si>
  <si>
    <t xml:space="preserve">Analytical method based on closed-form solutions of wave equations | Correlation</t>
  </si>
  <si>
    <t xml:space="preserve">The study proposes an ultrasonic method to determine complex modulus and phase angle of asphalt mixtures using both longitudinal and shear waves, and compares the results with dynamic modulus obtained from IDT tests</t>
  </si>
  <si>
    <t xml:space="preserve">Extends conventional UT applications from wave velocity measurements to estimation of complex modulus using P- and S-waves, with comparison to dynamic modulus tests</t>
  </si>
  <si>
    <t xml:space="preserve">App=2, Meth=2, DA=2 (SigProc=1, PropC=3, IdM=1). Scores tied at 2; ABK/ABL emphasis resolved to Application Focus.</t>
  </si>
  <si>
    <t xml:space="preserve">P131</t>
  </si>
  <si>
    <t xml:space="preserve">Li, S. and Gu, X. and Zhang, T.</t>
  </si>
  <si>
    <t xml:space="preserve">Sensitivity analysis of physical parameters of asphalt pavement in ultrasonic testing based on finite element simulation</t>
  </si>
  <si>
    <t xml:space="preserve">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t>
  </si>
  <si>
    <t xml:space="preserve">conventional-test comparison (Finite element simulation of ultrasonic wave propagation in asphalt pavement using COMSOL Sensitivity analysis of pavement physical parameters: density, elastic modulus, viscosity)</t>
  </si>
  <si>
    <t xml:space="preserve">central frequency (UT); configuration (UT); standard/reference (UT); temperature (UT); wave type (UT); methodological comment (UT)</t>
  </si>
  <si>
    <t xml:space="preserve">no mechanical property was directly determined from UT. The study evaluated sensitivity of ultrasonic response parameters to pavement physical/mechanical inputs, including density, elastic modulus, and viscosity.</t>
  </si>
  <si>
    <t xml:space="preserve">Numerical inverse analysis (FEM or other) | not applicable / not reported. The study focused on simulated wave response parameters rather than laboratory ToF picking.</t>
  </si>
  <si>
    <t xml:space="preserve">The study provides a COMSOL-based numerical sensitivity analysis of ultrasonic/acoustic wave propagation in a multilayer asphalt pavement structure, showing how density, elastic modulus, viscosity, and incident frequency can influence simulated acoustic response parameters.</t>
  </si>
  <si>
    <t xml:space="preserve">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t>
  </si>
  <si>
    <t xml:space="preserve">Numerical / simulated asphalt material</t>
  </si>
  <si>
    <t xml:space="preserve">App=1, Meth=2, DA=3 (SigProc=1, PropC=1, IdM=3). Single highest technical score.</t>
  </si>
  <si>
    <t xml:space="preserve">P115</t>
  </si>
  <si>
    <t xml:space="preserve">Syukuriah, S. and Hustim, M. and Tjaronge, W. and Irmawaty, R.</t>
  </si>
  <si>
    <t xml:space="preserve">Performance Evaluation of Magnesia-Type Refractory Brick Waste as Complete Replacement for Fine Aggregate and Filler in Asphalt Concrete Wearing Course Mixtures</t>
  </si>
  <si>
    <t xml:space="preserve">Marshall mix design / Marshall properties Indirect tensile strength (ITS) Cantabro loss / durability test</t>
  </si>
  <si>
    <t xml:space="preserve">conventional-test comparison (Marshall mix design / Marshall properties Indirect tensile strength (ITS) Cantabro loss / durability test); multiple material types (2); RAP/RAS or recycled materials</t>
  </si>
  <si>
    <t xml:space="preserve">configuration (UT); standard/reference (UT); transducer type (UT); wave type (UT); methodological comment (UT)</t>
  </si>
  <si>
    <t xml:space="preserve">not applicable; no rheological modeling or master-curve construction was performed.</t>
  </si>
  <si>
    <t xml:space="preserve">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t>
  </si>
  <si>
    <t xml:space="preserve">This paper is useful for comparison with UT studies where UPV is used as an indicator of compactness, internal integrity, and durability rather than as a direct modulus or rheological measurement.</t>
  </si>
  <si>
    <t xml:space="preserve">P20</t>
  </si>
  <si>
    <t xml:space="preserve">Gu, X.-Y. and Li, S.-W. and Dong, Q. and Xu, X.-R. and Xu, D.-W. and Zhang, T.-J.</t>
  </si>
  <si>
    <t xml:space="preserve">Attenuation Characteristics and Influencing Factors of Ultrasonic Testing of Asphalt Concrete</t>
  </si>
  <si>
    <t xml:space="preserve">attenuation</t>
  </si>
  <si>
    <t xml:space="preserve">attenuation characteristics</t>
  </si>
  <si>
    <t xml:space="preserve">Numerical inverse analysis (FEM or other) | ToF not determined</t>
  </si>
  <si>
    <t xml:space="preserve">Generalized Maxwell model, Burgers</t>
  </si>
  <si>
    <t xml:space="preserve">comparison between the test results and the numerical model, extension of the numerical results to the temperature range not tested in real conditions</t>
  </si>
  <si>
    <t xml:space="preserve">Useful in terms of the model - based on tests of one mixture at one temperature and Burgers' model parameters for various temperatures, FE modeled the UT test results for three different mixture types and various test temperatures.</t>
  </si>
  <si>
    <t xml:space="preserve">Hot Mixture Asphalt (HMA); Numerical / simulated asphalt material</t>
  </si>
  <si>
    <t xml:space="preserve">App=1, Meth=3, DA=1 (SigProc=0, PropC=0, IdM=3). Single highest technical score.</t>
  </si>
  <si>
    <t xml:space="preserve">P08</t>
  </si>
  <si>
    <t xml:space="preserve">Pezhouhan Tavassoti-Kheiry, Ilker Boz, Xuan Chen, Mansour Solaimanian</t>
  </si>
  <si>
    <t xml:space="preserve">Application of Ultrasonic Pulse Velocity Testing of Asphalt Concrete 
Mixtures to Improve the Prediction Accuracy of Dynamic Modulus 
Master Curve</t>
  </si>
  <si>
    <t xml:space="preserve">conventional-test comparison (Complex modulus (E*)); multiple material types (3)</t>
  </si>
  <si>
    <t xml:space="preserve">Analytical method based on closed-form solutions of wave equations | Probably first peak arrival ("excitation voltages and gain values were adjusted to deliver received signal levels ranging from 75% to 85%").</t>
  </si>
  <si>
    <t xml:space="preserve">Sigmoidal, Richards sigmoidal model</t>
  </si>
  <si>
    <t xml:space="preserve">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t>
  </si>
  <si>
    <t xml:space="preserve">Same materials as Boz et al. (2017), where impact resonance tests are also available.</t>
  </si>
  <si>
    <t xml:space="preserve">P120</t>
  </si>
  <si>
    <t xml:space="preserve">Rashetnia, Reza and Kusam, Abhilash and Yadav, Shivpal and Pour-Ghaz, Mohammad and Tayebali, Akhtarhusein</t>
  </si>
  <si>
    <t xml:space="preserve">Quantifying moisture damage in asphalt concrete using axisymmetric flexural vibration technique</t>
  </si>
  <si>
    <t xml:space="preserve">Moisture sensitivity</t>
  </si>
  <si>
    <t xml:space="preserve">conventional-test comparison (Moisture sensitivity); multiple material types (3); additives/modifiers; moisture/conditioning; cracking/damage; temperature effects (multiple temperatures)</t>
  </si>
  <si>
    <t xml:space="preserve">Analytical method based on closed-form solutions of wave equations, The resonance frequency parameter (Ωo) is estimated for a given geometry using the axisymmetric flexural vibration of thick free circular plate equations (Huchinson 1979). An iterative algorithm was implemented.</t>
  </si>
  <si>
    <t xml:space="preserve">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t>
  </si>
  <si>
    <t xml:space="preserve">Scores tied at 3; ABK/ABL emphasis resolved to Application Focus</t>
  </si>
  <si>
    <t xml:space="preserve">App=3, Meth=3, DA=2 (SigProc=1, PropC=3, IdM=1). Scores tied at 3; ABK/ABL emphasis resolved to Application Focus.</t>
  </si>
  <si>
    <t xml:space="preserve">P136</t>
  </si>
  <si>
    <t xml:space="preserve">Boz, I. and Tavassoti-Kheiry, P. and Solaimanian, M.</t>
  </si>
  <si>
    <t xml:space="preserve">The advantages of using impact resonance test in dynamic modulus master curve construction through the abbreviated test protocol</t>
  </si>
  <si>
    <t xml:space="preserve">excitation source (IR); sensors (IR); boundary conditions (IR); vibration modes (IR); standard/reference (IR); temperature (IR)</t>
  </si>
  <si>
    <t xml:space="preserve">Analytical method based on closed-form solutions of wave equations, method is not detailed in the paper. Reference is Kweon G and Kim Y (2006)</t>
  </si>
  <si>
    <t xml:space="preserve">Sigmoidal, MEPDG and Richards sigmoidal models were investigated. They focus on investigating effect of actually having measurements at -10ºC (for example with IRT)</t>
  </si>
  <si>
    <t xml:space="preserve">Master curve construction, Investigating how to use an abbreviated E* testing protocol (without -10ºC), testing different fitting strategies and with and without IRT measurements.</t>
  </si>
  <si>
    <t xml:space="preserve">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t>
  </si>
  <si>
    <t xml:space="preserve">P99</t>
  </si>
  <si>
    <t xml:space="preserve">Arepalli, Uma Maheswar and Kottayi, Nivedya Madankara and Mallick, Rajib B</t>
  </si>
  <si>
    <t xml:space="preserve">Moisture susceptibility evaluation of Hot Mix Asphalt: combined effect of traffic and moisture</t>
  </si>
  <si>
    <t xml:space="preserve">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t>
  </si>
  <si>
    <t xml:space="preserve">conventional-test comparison (Complex modulus (E*), Moisture sensitivity, Rutting test); multiple material types (2); RAP/RAS or recycled materials; moisture/conditioning</t>
  </si>
  <si>
    <t xml:space="preserve">central frequency (UT); configuration (UT); standard/reference (UT); temperature (UT); transducer type (UT); methodological comment (UT)</t>
  </si>
  <si>
    <t xml:space="preserve">Analytical method based on closed-form solutions of wave equations | The V-Meter displayed travel time, but the paper does not state the picking algorithm.</t>
  </si>
  <si>
    <t xml:space="preserve">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t>
  </si>
  <si>
    <t xml:space="preserve">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t>
  </si>
  <si>
    <t xml:space="preserve">Cylinder; Disc; In situ / pavement</t>
  </si>
  <si>
    <t xml:space="preserve">App=3, Meth=2, DA=1 (SigProc=0, PropC=0, IdM=1). Single highest technical score.</t>
  </si>
  <si>
    <t xml:space="preserve">P144</t>
  </si>
  <si>
    <t xml:space="preserve">Birgisson, B. and Roque, R. and Page, G.C.</t>
  </si>
  <si>
    <t xml:space="preserve">2003</t>
  </si>
  <si>
    <t xml:space="preserve">Ultrasonic Pulse Wave Velocity Test for Monitoring Changes in Hot-Mix Asphalt Mixture Integrity from Exposure to Moisture</t>
  </si>
  <si>
    <t xml:space="preserve">conventional-test comparison (Moisture sensitivity); multiple material types (2); RAP/RAS or recycled materials; moisture/conditioning</t>
  </si>
  <si>
    <t xml:space="preserve">central frequency (UT); configuration (UT); repetitions (UT); transducer type (UT); wave type (UT)</t>
  </si>
  <si>
    <t xml:space="preserve">P-waves/S-waves velocities, "Small strain" modulus (derived from Pwave velocity)</t>
  </si>
  <si>
    <t xml:space="preserve">Analytical method based on closed-form solutions of wave equations | Arrival time from waveform (using an oscilloscope for detection)</t>
  </si>
  <si>
    <t xml:space="preserve">Demonstrates that small strain modulus obtained from UPV test is sensitive to moisture-induced damage in HMA
Proposes UPV as a rapid, non-destructive monitoring tool for mixtures changes</t>
  </si>
  <si>
    <t xml:space="preserve">No direct comparison with conventional mechanical tests</t>
  </si>
  <si>
    <t xml:space="preserve">P48</t>
  </si>
  <si>
    <t xml:space="preserve">Qiu, K. and Chen, H. and Sun, W. and Sun, L. and Hong, J. and Zhao, G.</t>
  </si>
  <si>
    <t xml:space="preserve">Determination of mechanical properties of cement asphalt mortar via UPV method</t>
  </si>
  <si>
    <t xml:space="preserve">Flexural strength test, Compressive strength test, Static modulus (Young’s modulus) test</t>
  </si>
  <si>
    <t xml:space="preserve">conventional-test comparison (Flexural strength test, Compressive strength test, Static modulus (Young’s modulus) test); additives/modifiers</t>
  </si>
  <si>
    <t xml:space="preserve">Analytical method based on closed-form solutions of wave equations | Direct travel time measurement with electronic delay correction</t>
  </si>
  <si>
    <t xml:space="preserve">Establishment of empirical relationships between UPV and mechanical properties  for CAM
Demonstration that UPV can be used as a ND tool for estimating mechanical properties of cement asphalt mortar
Experimental validation of UPV correlations with conventional mechanical tests</t>
  </si>
  <si>
    <t xml:space="preserve">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t>
  </si>
  <si>
    <t xml:space="preserve">P96</t>
  </si>
  <si>
    <t xml:space="preserve">Barbosa, E. and Lira, L. and Filho, M.S. and Babadopulos, L. and Soares, J. and Santos, G. and Bastos, J.</t>
  </si>
  <si>
    <t xml:space="preserve">Mechanical Analysis through Non-Destructive Testing of Recycled Porous Friction Course Asphalt Mixture</t>
  </si>
  <si>
    <t xml:space="preserve">Complex modulus (E*), Resilience modulus</t>
  </si>
  <si>
    <t xml:space="preserve">conventional-test comparison (Complex modulus (E*), Resilience modulus); multiple material types (2); RAP/RAS or recycled materials; additives/modifiers</t>
  </si>
  <si>
    <t xml:space="preserve">RAP decreases elasticity and increases stiffness
Complex modulus tests and IRT show similar stiffness behavior supporting ND approach
RM test is inconsistent due to limited fundamental characterization and small specimen size</t>
  </si>
  <si>
    <t xml:space="preserve">App=3, Meth=0, DA=0 (SigProc=0, PropC=0, IdM=0). Single highest technical score.</t>
  </si>
  <si>
    <t xml:space="preserve">P125</t>
  </si>
  <si>
    <t xml:space="preserve">Majhi, Debanjan and Karmakar, Sandip and Roy, Tapas Kumar</t>
  </si>
  <si>
    <t xml:space="preserve">Reliability of Ultrasonic Pulse Velocity Method for Determining Dynamic Modulus of Asphalt Mixtures</t>
  </si>
  <si>
    <t xml:space="preserve">additives/modifiers</t>
  </si>
  <si>
    <t xml:space="preserve">Not applicable</t>
  </si>
  <si>
    <t xml:space="preserve">Should be excluded from the review</t>
  </si>
  <si>
    <t xml:space="preserve">App=1, Meth=3, DA=1 (SigProc=1, PropC=2, IdM=0). Single highest technical score.</t>
  </si>
  <si>
    <t xml:space="preserve">P83</t>
  </si>
  <si>
    <t xml:space="preserve">Sakhaeifar, Maryam S. and Richard Kim, Y. and Garcia Montano, Blanca E.</t>
  </si>
  <si>
    <t xml:space="preserve">Individual temperature based models for nondestructive evaluation of complex moduli in asphalt concrete</t>
  </si>
  <si>
    <t xml:space="preserve">AASHTO TP62 dynamic modulus test</t>
  </si>
  <si>
    <t xml:space="preserve">conventional-test comparison (AASHTO TP62 dynamic modulus test); multiple material types (2); RAP/RAS or recycled materials; QC / NDE</t>
  </si>
  <si>
    <t xml:space="preserve">detailed signal-based (FRF/modal/peak-based), direct analytical / empirical equation</t>
  </si>
  <si>
    <t xml:space="preserve">Norm of the complex modulus, Phase angle of the complex modulus, storage/elastic modulus, damping ratio, resonant frequency</t>
  </si>
  <si>
    <t xml:space="preserve">Sigmoidal, CAM model for binder master-curve construction; individual temperature-based predictive models, including the final selected sigmoidal p3 models.</t>
  </si>
  <si>
    <t xml:space="preserve">Master curve construction, development and validation of individual temperature-based predictive models for HMA dynamic modulus.</t>
  </si>
  <si>
    <t xml:space="preserve">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t>
  </si>
  <si>
    <t xml:space="preserve">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t>
  </si>
  <si>
    <t xml:space="preserve">App=3, Meth=3, DA=2 (SigProc=1, PropC=3, IdM=2). Scores tied at 3; ABK/ABL emphasis resolved to Application Focus.</t>
  </si>
  <si>
    <t xml:space="preserve">P152</t>
  </si>
  <si>
    <t xml:space="preserve">Rahul, M.S. and Jakati, S.S. and Sahana, K. and Shiva Kumar, G.</t>
  </si>
  <si>
    <t xml:space="preserve">Utilizing Chicken Feather Powder as a Bio-modifier for Asphalt Binder and Mixture Characterization</t>
  </si>
  <si>
    <t xml:space="preserve">Moisture sensitivity, Rutting test, Marshall stability; Indirect tensile strength; TSR</t>
  </si>
  <si>
    <t xml:space="preserve">conventional-test comparison (Moisture sensitivity, Rutting test, Marshall stability; Indirect tensile strength; TSR); multiple material types (5); additives/modifiers</t>
  </si>
  <si>
    <t xml:space="preserve">|E*| / dynamic modulus, Young’s/elastic modulus</t>
  </si>
  <si>
    <t xml:space="preserve">"elastic modulus" and "dynamic modulus" (unclear how calculation is done)</t>
  </si>
  <si>
    <t xml:space="preserve">unclear (they cite TDOT, 2006) | probably first peak arrival (no comment is made)</t>
  </si>
  <si>
    <t xml:space="preserve">The focus is to demonstrate possibility of use of a waste (CFP) in asphalt concrete. It also uses ultrasonic time-of-flight to detect changes after moisture damage and 81% of variance in tensile strength ratio is captured by UPV interpretation.</t>
  </si>
  <si>
    <t xml:space="preserve">P88</t>
  </si>
  <si>
    <t xml:space="preserve">Kim, Y.Richard and Lee, Yung-Chien</t>
  </si>
  <si>
    <t xml:space="preserve">1995</t>
  </si>
  <si>
    <t xml:space="preserve">Interrelationships among stiffnesses of asphalt-aggregate mixtures</t>
  </si>
  <si>
    <t xml:space="preserve">Complex modulus (E*), Static creep and Relaxation modulus; Indirect tensile modulus; Backcalculated field modulus</t>
  </si>
  <si>
    <t xml:space="preserve">conventional-test comparison (Complex modulus (E*), Static creep and Relaxation modulus; Indirect tensile modulus; Backcalculated field modulus); multiple material types (2); field/pavement assessment</t>
  </si>
  <si>
    <t xml:space="preserve">excitation source (IR); sensors (IR); vibration modes (IR); standard/reference (IR); temperature (IR); methodological comment (IR)</t>
  </si>
  <si>
    <t xml:space="preserve">|E*| / dynamic modulus, Poisson’s ratio</t>
  </si>
  <si>
    <t xml:space="preserve">Norm of the complex modulus, Poisson’s ratio</t>
  </si>
  <si>
    <t xml:space="preserve">creep compliance is expressed in a generalized power law (GPL) equation</t>
  </si>
  <si>
    <t xml:space="preserve">Demonstrated for a variety of rheological tests that resonance testing is promising, that it matches classical results if carefully interpreted. Also, as a strong part of the paper, it also associated the methods with field back-calculated moduli.</t>
  </si>
  <si>
    <t xml:space="preserve">Attention to strain/stress levels. At the time of the research this was not carefully looked (no non-linearity investigation during the comparison with classical tests).</t>
  </si>
  <si>
    <t xml:space="preserve">App=2, Meth=2, DA=2 (SigProc=1, PropC=3, IdM=1). Scores tied at 2; ABK/ABL not decisive; richer form evidence favoured Application Focus.</t>
  </si>
  <si>
    <t xml:space="preserve">P141</t>
  </si>
  <si>
    <t xml:space="preserve">Larcher, N. and Takarli, M. and Angellier, N. and Petit, C. and Sebbah, H.</t>
  </si>
  <si>
    <t xml:space="preserve">Towards a viscoelastic mechanical characterization of asphalt materials by ultrasonic measurements</t>
  </si>
  <si>
    <t xml:space="preserve">conventional-test comparison (Complex modulus (E*)); density/air-void evaluation</t>
  </si>
  <si>
    <t xml:space="preserve">Hilbert transform, FFT, zero-padding</t>
  </si>
  <si>
    <t xml:space="preserve">Analytical method based on closed-form solutions of wave equations | Threshold method, Hilbert transform</t>
  </si>
  <si>
    <t xml:space="preserve">Detailed data analysis  and signal processing combined with rheological modelling</t>
  </si>
  <si>
    <t xml:space="preserve">Prism / beam; Trapezoidal</t>
  </si>
  <si>
    <t xml:space="preserve">App=2, Meth=3, DA=2 (SigProc=2, PropC=3, IdM=1). Single highest technical score.</t>
  </si>
  <si>
    <t xml:space="preserve">P67</t>
  </si>
  <si>
    <t xml:space="preserve">Tavassoti-Kheiry, P. and Boz, I. and Solaimanian, M. and Qiu, T.</t>
  </si>
  <si>
    <t xml:space="preserve">Evaluation of nondestructiveness of resonant column testing for characterization of asphalt concrete properties</t>
  </si>
  <si>
    <t xml:space="preserve">Resonant column testing (RC), including torsional resonant-frequency testing for shear modulus and damping/free-vibration testing for damping ratio</t>
  </si>
  <si>
    <t xml:space="preserve">conventional-test comparison (Resonant column testing (RC), including torsional resonant-frequency testing for shear modulus and damping/free-vibration testing for damping ratio); RAP/RAS or recycled materials</t>
  </si>
  <si>
    <t xml:space="preserve">FFT, filtering, windowing, zero-padding</t>
  </si>
  <si>
    <t xml:space="preserve">Young’s/elastic modulus, resonant frequency</t>
  </si>
  <si>
    <t xml:space="preserve">Young’s modulus from impact resonance testing; resonant frequencies were also measured</t>
  </si>
  <si>
    <t xml:space="preserve">not applicable; the study did not perform rheological modeling or master-curve construction.</t>
  </si>
  <si>
    <t xml:space="preserve">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t>
  </si>
  <si>
    <t xml:space="preserve">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t>
  </si>
  <si>
    <t xml:space="preserve">App=2, Meth=3, DA=2 (SigProc=2, PropC=1, IdM=1). Single highest technical score.</t>
  </si>
  <si>
    <t xml:space="preserve">P72</t>
  </si>
  <si>
    <t xml:space="preserve">Fan, L. and Zheng, J. and Peng, S. and Xun, Z. and Chen, G.</t>
  </si>
  <si>
    <t xml:space="preserve">Experimental Investigation on the Influence of Crack Width of Asphalt Concrete on the Repair Effect of Microbially Induced Calcite Precipitation</t>
  </si>
  <si>
    <t xml:space="preserve">Compressive strength, indirect tensil strength, SEM/EDS</t>
  </si>
  <si>
    <t xml:space="preserve">conventional-test comparison (Compressive strength, indirect tensil strength, SEM/EDS); multiple material types (5); additives/modifiers; cracking/damage</t>
  </si>
  <si>
    <t xml:space="preserve">Not reported. Probably 1st peak arrival</t>
  </si>
  <si>
    <t xml:space="preserve">Proof of concept for using UPV for detecting the build-up of strength of a repair material for cracks.</t>
  </si>
  <si>
    <t xml:space="preserve">Cold mixture / emulsion-treated material</t>
  </si>
  <si>
    <t xml:space="preserve">Cube</t>
  </si>
  <si>
    <t xml:space="preserve">P56</t>
  </si>
  <si>
    <t xml:space="preserve">Grilli, V. and Grilli, A. and Graziani, A. and Jaczewski, M.</t>
  </si>
  <si>
    <t xml:space="preserve">Effect of strain level on the stiffness of cold recycled bituminous mixtures</t>
  </si>
  <si>
    <t xml:space="preserve">Indirect tensile stiffness modulus test</t>
  </si>
  <si>
    <t xml:space="preserve">conventional-test comparison (Indirect tensile stiffness modulus test); RAP/RAS or recycled materials; additives/modifiers</t>
  </si>
  <si>
    <t xml:space="preserve">central frequency (UT); configuration (UT); standard/reference (UT); temperature (UT); transducer type (UT); wave type (UT)</t>
  </si>
  <si>
    <t xml:space="preserve">Analytical method based on closed-form solutions of wave equations | unclear, probably first peak arrival.</t>
  </si>
  <si>
    <t xml:space="preserve">Paper identifies that indirect tension tests can produce damage even at deformations considered small for this test.</t>
  </si>
  <si>
    <t xml:space="preserve">P24</t>
  </si>
  <si>
    <t xml:space="preserve">Dareyni, Mohammad and Vahid Pourjafar, Seyed and Mohammadzadeh Moghaddam, Abolfazl</t>
  </si>
  <si>
    <t xml:space="preserve">Cationic asphalt emulsion as an additive of RCC Pavement: Exploring for Mode-I fracture behavior and dynamic modulus properties</t>
  </si>
  <si>
    <t xml:space="preserve">Complex modulus (E*), SCB fracture test</t>
  </si>
  <si>
    <t xml:space="preserve">conventional-test comparison (Complex modulus (E*), SCB fracture test); multiple material types (5); additives/modifiers</t>
  </si>
  <si>
    <t xml:space="preserve">likely 1st peak (more a concrete paper with bitumen as modifier)</t>
  </si>
  <si>
    <t xml:space="preserve">No particular rheological modelling. Only correlation between |E*| and UPV.</t>
  </si>
  <si>
    <t xml:space="preserve">Practical application of emulsion as a modifier for Portland cement roller-compacted concrete. Set of regression models (but not generalized) for predicting fracture and stiffness properties based on UPV measurements.</t>
  </si>
  <si>
    <t xml:space="preserve">P40</t>
  </si>
  <si>
    <t xml:space="preserve">Cheng, Y.-C. and Zhang, P. and Jiao, Y.-B. and Wang, Y.-D. and Tao, J.-L.</t>
  </si>
  <si>
    <t xml:space="preserve">Damage simulation and ultrasonic detection of asphalt mixture under the coupling effects of water-temperature-radiation</t>
  </si>
  <si>
    <t xml:space="preserve">Moisture sensitivity, Tests after Water-Temperature-Radiation (W-T-R) cycles (up to 12).</t>
  </si>
  <si>
    <t xml:space="preserve">conventional-test comparison (Moisture sensitivity, Tests after Water-Temperature-Radiation (W-T-R) cycles (up to 12).); multiple material types (5); cracking/damage; temperature effects (multiple temperatures)</t>
  </si>
  <si>
    <t xml:space="preserve">configuration (UT); temperature (UT); transducer type (UT); wave type (UT); methodological comment (UT)</t>
  </si>
  <si>
    <t xml:space="preserve">ToF picking</t>
  </si>
  <si>
    <t xml:space="preserve">Analysis stopped at wave velocity. | Peak arrival</t>
  </si>
  <si>
    <t xml:space="preserve">demonstration of a relationship between ultrasound velocity with a damage indicator (splitting tensile ratio after Water-Temperature-Radiation cycles).</t>
  </si>
  <si>
    <t xml:space="preserve">attention to the conditions of each test results (conditions are sometimes confusing in this paper).</t>
  </si>
  <si>
    <t xml:space="preserve">P145</t>
  </si>
  <si>
    <t xml:space="preserve">Jinrong, W. and Kai, Q. and Dongdong, M.</t>
  </si>
  <si>
    <t xml:space="preserve">Ultrasonic test in asphalt concrete under freeze-thaw and corrosion action</t>
  </si>
  <si>
    <t xml:space="preserve">Indirect tensile strength</t>
  </si>
  <si>
    <t xml:space="preserve">conventional-test comparison (Indirect tensile strength); moisture/conditioning</t>
  </si>
  <si>
    <t xml:space="preserve">configuration (UT); repetitions (UT); temperature (UT); transducer type (UT); wave type (UT); methodological comment (UT)</t>
  </si>
  <si>
    <t xml:space="preserve">Shows an application case to use UT to study the F/T resistance of bituminous mixtures.</t>
  </si>
  <si>
    <t xml:space="preserve">This paper is a low quality paper, it is poorly written, a lot of information is missing in the methodology and the analysis sections.</t>
  </si>
  <si>
    <t xml:space="preserve">App=2, Meth=2, DA=1 (SigProc=0, PropC=0, IdM=1). Scores tied at 2; ABK/ABL not decisive; richer form evidence favoured Testing Methodology Focus.</t>
  </si>
  <si>
    <t xml:space="preserve">P81</t>
  </si>
  <si>
    <t xml:space="preserve">Tavassoti, P. and Ameen, T.H. and Baaj, H. and Cascante, G.</t>
  </si>
  <si>
    <t xml:space="preserve">Improving the Modulus Master Curve of Bituminous Mixes Using Ultrasonic Measurements</t>
  </si>
  <si>
    <t xml:space="preserve">The generalized non-symmetric Richards sigmoid function</t>
  </si>
  <si>
    <t xml:space="preserve">It shows an impactful application of UT to improve the characterization of bituminous mixtures at high frequencies/low temperatures.</t>
  </si>
  <si>
    <t xml:space="preserve">App=1, Meth=2, DA=2 (SigProc=0, PropC=2, IdM=1). Scores tied at 2; ABK/ABL not decisive; richer form evidence favoured Testing Methodology Focus.</t>
  </si>
  <si>
    <t xml:space="preserve">P51</t>
  </si>
  <si>
    <t xml:space="preserve">Mahdavi, Alireza and Moghaddam, Abolfazl Mohammadzadeh and Dareyni, Mohammad</t>
  </si>
  <si>
    <t xml:space="preserve">2021</t>
  </si>
  <si>
    <t xml:space="preserve">Durability and Mechanical Properties of Roller Compacted Concrete Containing Coarse Reclaimed Asphalt Pavement</t>
  </si>
  <si>
    <t xml:space="preserve">multiple material types (5); RAP/RAS or recycled materials; durability</t>
  </si>
  <si>
    <t xml:space="preserve">configuration (UT); standard/reference (UT); wave type (UT); methodological comment (UT)</t>
  </si>
  <si>
    <t xml:space="preserve">P-waves/S-waves velocities, correlations with compressive strength, splitting tensile strength, static modulus of elasticity, and flexural strength</t>
  </si>
  <si>
    <t xml:space="preserve">empirical correlation/regression between UPV and mechanical properties</t>
  </si>
  <si>
    <t xml:space="preserve">The study demonstrates the use of ultrasonic pulse velocity (UPV) as a non-destructive indicator for evaluating RAP-containing roller compacted concrete, with correlations to compressive strength, splitting tensile strength, static modulus of elasticity, and flexural strength.</t>
  </si>
  <si>
    <t xml:space="preserve">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t>
  </si>
  <si>
    <t xml:space="preserve">Cube; Cylinder; Prism / beam</t>
  </si>
  <si>
    <t xml:space="preserve">P97</t>
  </si>
  <si>
    <t xml:space="preserve">Sarsam, S.I. and Kadium, N.S.</t>
  </si>
  <si>
    <t xml:space="preserve">Modeling the strength properties of Asphalt Concrete using NDT</t>
  </si>
  <si>
    <t xml:space="preserve">Moisture sensitivity, Indirect tensile strength and Marshall stability</t>
  </si>
  <si>
    <t xml:space="preserve">conventional-test comparison (Moisture sensitivity, Indirect tensile strength and Marshall stability)</t>
  </si>
  <si>
    <t xml:space="preserve">central frequency (UT); configuration (UT); repetitions (UT); standard/reference (UT); transducer type (UT); wave type (UT); methodological comment (UT)</t>
  </si>
  <si>
    <t xml:space="preserve">No interesting contribution for this review.</t>
  </si>
  <si>
    <t xml:space="preserve">App=1, Meth=3, DA=1 (SigProc=0, PropC=0, IdM=1). Single highest technical score.</t>
  </si>
  <si>
    <t xml:space="preserve">P35</t>
  </si>
  <si>
    <t xml:space="preserve">Xie, T. and Qiu, Y. and Jiang, Z. and Lan, B.</t>
  </si>
  <si>
    <t xml:space="preserve">2007</t>
  </si>
  <si>
    <t xml:space="preserve">Compaction quality of bitumen mixtures based on ultrasonic methods</t>
  </si>
  <si>
    <t xml:space="preserve">density/air-void evaluation</t>
  </si>
  <si>
    <t xml:space="preserve">central frequency (UT); configuration (UT); repetitions (UT); standard/reference (UT); methodological comment (UT)</t>
  </si>
  <si>
    <t xml:space="preserve">No rheological modeling, master-curve construction, or comparison between MWP-derived and conventional complex modulus results was performed</t>
  </si>
  <si>
    <t xml:space="preserve">The study proposes a simple ultrasonic longitudinal-wave method to estimate the compact degree of bituminous mixtures using one reference specimen with known compact degree. It shows that ultrasonic wave velocity can provide a rapid, non-destructive indication of compaction quality.</t>
  </si>
  <si>
    <t xml:space="preserve">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t>
  </si>
  <si>
    <t xml:space="preserve">Disc; Other / special / unspecified; Prism / beam</t>
  </si>
  <si>
    <t xml:space="preserve">P143</t>
  </si>
  <si>
    <t xml:space="preserve">du Tertre, Antonin and Kırlangıç, Ahmet Serhan and Cascante, Giovanni and Tighe, Susan L</t>
  </si>
  <si>
    <t xml:space="preserve">Ultrasonic inspection of asphalt pavements to assess longitudinal joints</t>
  </si>
  <si>
    <t xml:space="preserve">central frequency (UT); wave type (UT); methodological comment (UT)</t>
  </si>
  <si>
    <t xml:space="preserve">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t>
  </si>
  <si>
    <t xml:space="preserve">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t>
  </si>
  <si>
    <t xml:space="preserve">Scores tied at 1; ABK/ABL not decisive; richer form evidence favoured Testing Methodology Focus</t>
  </si>
  <si>
    <t xml:space="preserve">Slab / plate</t>
  </si>
  <si>
    <t xml:space="preserve">App=0, Meth=1, DA=1 (SigProc=0, PropC=0, IdM=1). Scores tied at 1; ABK/ABL not decisive; richer form evidence favoured Testing Methodology Focus.</t>
  </si>
  <si>
    <t xml:space="preserve">P151</t>
  </si>
  <si>
    <t xml:space="preserve">Arabani, M. and Khe Iry, P.T. and Ferdowsi, B.</t>
  </si>
  <si>
    <t xml:space="preserve">Use of ultrasonic pulse velocity (UPV) for assessment of HMA mixtures behavior</t>
  </si>
  <si>
    <t xml:space="preserve">Indirect Tensile Stiffness Modulus (ITSM)</t>
  </si>
  <si>
    <t xml:space="preserve">conventional-test comparison (Indirect Tensile Stiffness Modulus (ITSM))</t>
  </si>
  <si>
    <t xml:space="preserve">central frequency (UT); configuration (UT); temperature (UT); transducer type (UT); wave type (UT)</t>
  </si>
  <si>
    <t xml:space="preserve">Demonstration that UPV-derived elastic modulus presents good agreement with ITSM stiffness modulus for HMA mixtures with varying gradation, filler content, fractured particles content, and bitumen content.</t>
  </si>
  <si>
    <t xml:space="preserve">This study applies classical UPV on laboratory cylindrical asphalt specimens to estimate elastic modulus and directly compare it with ITSM stiffness modulus results</t>
  </si>
  <si>
    <t xml:space="preserve">P80</t>
  </si>
  <si>
    <t xml:space="preserve">Baker, Mousa Bani and Abendeh, Raed</t>
  </si>
  <si>
    <t xml:space="preserve">Improving asphalt concrete resistance to rapid freezethaw effect using HIPS polymer</t>
  </si>
  <si>
    <t xml:space="preserve">additives/modifiers; moisture/conditioning; density/air-void evaluation</t>
  </si>
  <si>
    <t xml:space="preserve">configuration (UT); wave type (UT); methodological comment (UT)</t>
  </si>
  <si>
    <t xml:space="preserve">P-waves/S-waves velocities, Damage index</t>
  </si>
  <si>
    <t xml:space="preserve">Investigation of the effect of Natural Bentonite Clay (NBC) as a partial filler replacement in asphalt concrete.
Evaluation of durability under freeze–thaw cycles using UPV</t>
  </si>
  <si>
    <t xml:space="preserve">P158</t>
  </si>
  <si>
    <t xml:space="preserve">Gudmarsson, Anders and Ryden, Nils and Birgisson, Björn</t>
  </si>
  <si>
    <t xml:space="preserve">Observed deviations from isotropic linear viscoelastic behavior of asphalt concrete through modal testing</t>
  </si>
  <si>
    <t xml:space="preserve">FRF, coherence, FFT</t>
  </si>
  <si>
    <t xml:space="preserve">|E*| / dynamic modulus, phase angle, Poisson’s ratio, complex shear modulus, shear modulus</t>
  </si>
  <si>
    <t xml:space="preserve">Norm of the complex modulus, Phase angle of the complex modulus, Poisson’s ratio, Complex shear modulus (G*)</t>
  </si>
  <si>
    <t xml:space="preserve">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t>
  </si>
  <si>
    <t xml:space="preserve">This study simultaneously investigated E*, G*, and ν* using longitudinal, flexural, and torsional vibration modes on the same specimen.</t>
  </si>
  <si>
    <t xml:space="preserve">App=0, Meth=3, DA=3 (SigProc=2, PropC=3, IdM=3). Scores tied at 3; ABK/ABL emphasis resolved to Data Analysis Type.</t>
  </si>
  <si>
    <t xml:space="preserve">P77</t>
  </si>
  <si>
    <t xml:space="preserve">Kia, Alalea and Wong, Hong S and Cheeseman, Christopher R</t>
  </si>
  <si>
    <t xml:space="preserve">Freeze–Thaw Durability of Conventional and Novel Permeable Pavement Replacement</t>
  </si>
  <si>
    <t xml:space="preserve">Freeze-thaw resistance</t>
  </si>
  <si>
    <t xml:space="preserve">conventional-test comparison (Freeze-thaw resistance); moisture/conditioning; durability</t>
  </si>
  <si>
    <t xml:space="preserve">Main contribution was to material development. No contribution to NDT</t>
  </si>
  <si>
    <t xml:space="preserve">P129</t>
  </si>
  <si>
    <t xml:space="preserve">Shiong, F. and Shaffie, E. and Din, M.S.I. and Mohamad Rais, N. and Kamaluddin, N.A.</t>
  </si>
  <si>
    <t xml:space="preserve">Self-healing crack of steel fibre asphalt mixture using heating method with non-destructive test-ultrasonic pulse velocity (UPV)</t>
  </si>
  <si>
    <t xml:space="preserve">Marshal Stability, Indirect tensile to damage specimens</t>
  </si>
  <si>
    <t xml:space="preserve">conventional-test comparison (Marshal Stability, Indirect tensile to damage specimens); cracking/damage</t>
  </si>
  <si>
    <t xml:space="preserve">The study is an application case that demonstrate the UPV test is a suitable tool to investigate self-healing of SMA.</t>
  </si>
  <si>
    <t xml:space="preserve">App=2, Meth=2, DA=1 (SigProc=0, PropC=0, IdM=1). Scores tied at 2; ABK/ABL not decisive; richer form evidence favoured Application Focus.</t>
  </si>
  <si>
    <t xml:space="preserve">P17</t>
  </si>
  <si>
    <t xml:space="preserve">Boz, Ilker and Chen, Xuan and Solaimanian, Mansour and American Society of Civil Engineers</t>
  </si>
  <si>
    <t xml:space="preserve">Assessment of Emulsified RAP Cold Mixes via Non-Destructive Testing</t>
  </si>
  <si>
    <t xml:space="preserve">conventional-test comparison (Rutting test); multiple material types (3); RAP/RAS or recycled materials; additives/modifiers</t>
  </si>
  <si>
    <t xml:space="preserve">Analytical method based on closed-form solutions of wave equations | Authors only mention that ''The velocity of the specimens were calculated by dividing the first arrival pulse of the wave by the specimen thickness.''</t>
  </si>
  <si>
    <t xml:space="preserve">The study demonstrates that UPV is very repeatable (even for cold mixtures with evolutive properties) and that it can be used to effectively monitor the curing of cold mixtures and differentiate materials with different compositions (different emulsions, presence of cement or not).</t>
  </si>
  <si>
    <t xml:space="preserve">App=3, Meth=2, DA=2 (SigProc=0, PropC=2, IdM=1). Single highest technical score.</t>
  </si>
  <si>
    <t xml:space="preserve">P49</t>
  </si>
  <si>
    <t xml:space="preserve">Karoliny Lemos Bezerra, Ana and Carret, Jean-Claude and Feitosa de Albuquerque Lima Babadopulos, Lucas and Barbosa Soares, Jorge</t>
  </si>
  <si>
    <t xml:space="preserve">Determination of the stiffness of ecological asphalt mixtures with non-destructive impact resonance tests</t>
  </si>
  <si>
    <t xml:space="preserve">multiple material types (4); temperature effects (multiple temperatures)</t>
  </si>
  <si>
    <t xml:space="preserve">The study confirms that IRT can be used to effectively characterize the mechanical properties of different materials, that it is highly sensitive to temperature effects, and that it can differentiate the behaviour of HMA with different mix designs.</t>
  </si>
  <si>
    <t xml:space="preserve">No comparison with conventional mechanical tests.</t>
  </si>
  <si>
    <t xml:space="preserve">Scores tied at 3; ABK/ABL not decisive; richer form evidence favoured Testing Methodology Focus</t>
  </si>
  <si>
    <t xml:space="preserve">App=2, Meth=3, DA=3 (SigProc=2, PropC=3, IdM=3). Scores tied at 3; ABK/ABL not decisive; richer form evidence favoured Testing Methodology Focus.</t>
  </si>
  <si>
    <t xml:space="preserve">P176</t>
  </si>
  <si>
    <t xml:space="preserve">Gudmarsson, Anders and Carret, Jean-Claude and Pouget, Simon and Nilsson, Richard and Ahmed, Abubeker and Di Benedetto, Hervé and Sauzéat, Cédric</t>
  </si>
  <si>
    <t xml:space="preserve">Precision of modal analysis to characterise the complex modulus of asphalt concrete</t>
  </si>
  <si>
    <t xml:space="preserve">conventional-test comparison (Complex modulus (E*)); additives/modifiers</t>
  </si>
  <si>
    <t xml:space="preserve">2S2P1D, Havriliak–Negami</t>
  </si>
  <si>
    <t xml:space="preserve">Demonstrated the inter-laboratory reproducibility of modal analysis for characterizing the complex modulus of asphalt concrete. The method showed low variability (COV &lt; 3% above 10 Hz) and good agreement with cyclic tension-compression testing</t>
  </si>
  <si>
    <t xml:space="preserve">Unlike most modal analysis studies focused on material characterization, this study specifically evaluated repeatability and reproducibility across four laboratories using the same specimens. It also provided direct validation against cyclic tension-compression testing</t>
  </si>
  <si>
    <t xml:space="preserve">App=2, Meth=3, DA=3 (SigProc=1, PropC=3, IdM=3). Scores tied at 3; ABK/ABL emphasis resolved to Data Analysis Type.</t>
  </si>
  <si>
    <t xml:space="preserve">P19</t>
  </si>
  <si>
    <t xml:space="preserve">Karati, S and Roy, TK</t>
  </si>
  <si>
    <t xml:space="preserve">Assessment of temperature impact on SDA modified bituminous concrete by non-destructive test</t>
  </si>
  <si>
    <t xml:space="preserve">Complex modulus (E) / dynamic modulus estimation from UPV; Marshall mix design / Marshall volumetric properties; Cantabro abrasion test / Cantabro mass loss; Indirect tensile strength test (ITS)</t>
  </si>
  <si>
    <t xml:space="preserve">conventional-test comparison (Complex modulus (E) / dynamic modulus estimation from UPV; Marshall mix design / Marshall volumetric properties; Cantabro abrasion test / Cantabro mass loss; Indirect tensile strength test (ITS)); additives/modifiers</t>
  </si>
  <si>
    <t xml:space="preserve">central frequency (UT); standard/reference (UT); temperature (UT); transducer type (UT); wave type (UT); methodological comment (UT)</t>
  </si>
  <si>
    <t xml:space="preserve">The paper does not use 2S2P1D, Huet–Sayegh, Havriliak–Negami, sigmoidal, generalized Maxwell, or any other formal rheological model.</t>
  </si>
  <si>
    <t xml:space="preserve">No rheological modeling or master-curve construction was performed. The study estimated dynamic modulus from UPV measurements at different temperatures.</t>
  </si>
  <si>
    <t xml:space="preserve">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t>
  </si>
  <si>
    <t xml:space="preserve">This paper is useful for comparison with studies using UT/UPV to estimate stiffness or dynamic modulus of asphalt mixtures at different temperatures.</t>
  </si>
  <si>
    <t xml:space="preserve">P135</t>
  </si>
  <si>
    <t xml:space="preserve">Sharma, D. and Sharma, A.</t>
  </si>
  <si>
    <t xml:space="preserve">STRENGTH ASSESSMENT OF ASPHALTIC CONCRETE USING BITUMEN, NATURAL FIBRE AND STONE DUST</t>
  </si>
  <si>
    <t xml:space="preserve">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t>
  </si>
  <si>
    <t xml:space="preserve">P64</t>
  </si>
  <si>
    <t xml:space="preserve">Karmakar, S and Roy, TK</t>
  </si>
  <si>
    <t xml:space="preserve">Evaluation for structural integrity of waste plastic cup modified bituminous mix by micro-chemical analysis</t>
  </si>
  <si>
    <t xml:space="preserve">Marshall test</t>
  </si>
  <si>
    <t xml:space="preserve">conventional-test comparison (Marshall test); additives/modifiers</t>
  </si>
  <si>
    <t xml:space="preserve">P-waves/S-waves velocities, Dynamic elastic modulus</t>
  </si>
  <si>
    <t xml:space="preserve">Analytical method based on closed-form solutions of wave equations | Not explicit</t>
  </si>
  <si>
    <t xml:space="preserve">Correlation with Marshall parameters suggests potential usefulness, but further calibration and validation are required</t>
  </si>
  <si>
    <t xml:space="preserve">App=2, Meth=1, DA=1 (SigProc=0, PropC=1, IdM=1). Single highest technical score.</t>
  </si>
  <si>
    <t xml:space="preserve">P103</t>
  </si>
  <si>
    <t xml:space="preserve">Al-Mufti, R.L. and Fried, A.N.</t>
  </si>
  <si>
    <t xml:space="preserve">Non-destructive evaluation of reclaimed asphalt cement concrete</t>
  </si>
  <si>
    <t xml:space="preserve">Compressive strength</t>
  </si>
  <si>
    <t xml:space="preserve">conventional-test comparison (Compressive strength); multiple material types (2); RAP/RAS or recycled materials; QC / NDE</t>
  </si>
  <si>
    <t xml:space="preserve">-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t>
  </si>
  <si>
    <t xml:space="preserve">App=3, Meth=3, DA=1 (SigProc=0, PropC=0, IdM=1). Scores tied at 3; ABK/ABL emphasis resolved to Application Focus.</t>
  </si>
  <si>
    <t xml:space="preserve">P65</t>
  </si>
  <si>
    <t xml:space="preserve">Chen, L. and Qian, Z. and Zhang, L.</t>
  </si>
  <si>
    <t xml:space="preserve">Evaluation of epoxy asphalt concrete damping parameters using impact resonance test</t>
  </si>
  <si>
    <t xml:space="preserve">additives/modifiers; mixture comparison; temperature effects (multiple temperatures)</t>
  </si>
  <si>
    <t xml:space="preserve">excitation source (IR); sensors (IR); boundary conditions (IR); vibration modes (IR); standard/reference (IR); temperature (IR); methodological comment (IR)</t>
  </si>
  <si>
    <t xml:space="preserve">damping</t>
  </si>
  <si>
    <t xml:space="preserve">Damping coefficient using the Logarithmic decrement method and damping factor.</t>
  </si>
  <si>
    <t xml:space="preserve">Demonstration that the hammer head and the support of the specimens do not significantly influence the IRT results.</t>
  </si>
  <si>
    <t xml:space="preserve">App=2, Meth=3, DA=2 (SigProc=1, PropC=2, IdM=1). Single highest technical score.</t>
  </si>
  <si>
    <t xml:space="preserve">P32</t>
  </si>
  <si>
    <t xml:space="preserve">Arabani, M. and Kheiry, P.T.</t>
  </si>
  <si>
    <t xml:space="preserve">Characterizing engineering properties of asphalt concrete using UPV test</t>
  </si>
  <si>
    <t xml:space="preserve">ISTM test (Indirect Tensile Stiffness Modulus) using Notthingham asphalt tester (NAT)</t>
  </si>
  <si>
    <t xml:space="preserve">conventional-test comparison (ISTM test (Indirect Tensile Stiffness Modulus) using Notthingham asphalt tester (NAT)); multiple material types (2)</t>
  </si>
  <si>
    <t xml:space="preserve">Analytical method based on closed-form solutions of wave equations, simplified analytical estimation of dynamic modulus from ultrasonic velocity followed by empirical regression | Not explicitely mentionned, only first arrival detection</t>
  </si>
  <si>
    <t xml:space="preserve">Demonstration that ultrasonic pulse velocity can be used to estimate mechanical properties of asphalt mixtures through mixture-specific regression equations</t>
  </si>
  <si>
    <t xml:space="preserve">App=2, Meth=2, DA=1 (SigProc=0, PropC=1, IdM=1). Scores tied at 2; ABK/ABL emphasis resolved to Application Focus.</t>
  </si>
  <si>
    <t xml:space="preserve">P91</t>
  </si>
  <si>
    <t xml:space="preserve">Daniel, J.S. and Kim, Y.R.</t>
  </si>
  <si>
    <t xml:space="preserve">2001</t>
  </si>
  <si>
    <t xml:space="preserve">Laboratory evaluation of fatigue damage and healing of asphalt mixtures</t>
  </si>
  <si>
    <t xml:space="preserve">Fatigue test, Healing</t>
  </si>
  <si>
    <t xml:space="preserve">conventional-test comparison (Fatigue test, Healing); multiple material types (2); cracking/damage; fatigue; temperature effects (multiple temperatures)</t>
  </si>
  <si>
    <t xml:space="preserve">Master curve construction, fatigue test and healing</t>
  </si>
  <si>
    <t xml:space="preserve">Fatigue and healing effect</t>
  </si>
  <si>
    <t xml:space="preserve">ASTM C 215</t>
  </si>
  <si>
    <t xml:space="preserve">App=3, Meth=3, DA=2 (SigProc=1, PropC=2, IdM=1). Scores tied at 3; ABK/ABL emphasis resolved to Application Focus.</t>
  </si>
  <si>
    <t xml:space="preserve">P27</t>
  </si>
  <si>
    <t xml:space="preserve">McGovern, M.E. and Buttlar, W.G. and Reis, H.</t>
  </si>
  <si>
    <t xml:space="preserve">Characterisation of oxidative ageing in asphalt concrete using a non-collinear ultrasonic wave mixing approach</t>
  </si>
  <si>
    <t xml:space="preserve">multiple material types (5)</t>
  </si>
  <si>
    <t xml:space="preserve">P-waves/S-waves velocities, non-linear wave generation parameter</t>
  </si>
  <si>
    <t xml:space="preserve">Wave polarization</t>
  </si>
  <si>
    <t xml:space="preserve">P03</t>
  </si>
  <si>
    <t xml:space="preserve">Boz, I. and Solaimanian, M.</t>
  </si>
  <si>
    <t xml:space="preserve">A practical approach to determine asphalt concrete material properties based on non-destructive testing</t>
  </si>
  <si>
    <t xml:space="preserve">multiple material types (4)</t>
  </si>
  <si>
    <t xml:space="preserve">excitation source (IR); sensors (IR); vibration modes (IR); standard/reference (IR); repetitions (IR); temperature (IR)</t>
  </si>
  <si>
    <t xml:space="preserve">No direct mechanical property was determined in this paper. The extracted response was resonant frequency</t>
  </si>
  <si>
    <t xml:space="preserve">empirical / regression-based prediction of resonant frequency.</t>
  </si>
  <si>
    <t xml:space="preserve">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t>
  </si>
  <si>
    <t xml:space="preserve">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t>
  </si>
  <si>
    <t xml:space="preserve">App=1, Meth=3, DA=1 (SigProc=1, PropC=0, IdM=1). Single highest technical score.</t>
  </si>
  <si>
    <t xml:space="preserve">P128</t>
  </si>
  <si>
    <t xml:space="preserve">Ryden, N.</t>
  </si>
  <si>
    <t xml:space="preserve">Resonant frequency testing of cylindrical asphalt samples</t>
  </si>
  <si>
    <t xml:space="preserve">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t>
  </si>
  <si>
    <t xml:space="preserve">App=2, Meth=2, DA=2 (SigProc=1, PropC=2, IdM=1). Scores tied at 2; ABK/ABL emphasis resolved to Application Focus.</t>
  </si>
  <si>
    <t xml:space="preserve">P16</t>
  </si>
  <si>
    <t xml:space="preserve">Ye, Feilong and Ding, Xunhao and Ma, Tao and Ye, Zhongyun and Su, Zhizhou and Zhang, Shunquan</t>
  </si>
  <si>
    <t xml:space="preserve">Application research of epoxy resin mortar composite encapsulated piezoelectric ultrasonic sensors in monitoring dynamic modulus of asphalt concrete</t>
  </si>
  <si>
    <t xml:space="preserve">conventional-test comparison (Complex modulus (E*)); multiple material types (3); additives/modifiers</t>
  </si>
  <si>
    <t xml:space="preserve">central frequency (UT); configuration (UT); temperature (UT); transducer type (UT)</t>
  </si>
  <si>
    <t xml:space="preserve">Analytical method based on closed-form solutions of wave equations | Not specified (First arrival wave identification)</t>
  </si>
  <si>
    <t xml:space="preserve">Development of an ultrasonic-based method to estimate the complex modulus using embedded piezoeletric sensors, time-of-flight measurements, and an empirical correction factor (λ) linking the modulus obtainf by the ultrasonic method to the one obtained through the conventional method</t>
  </si>
  <si>
    <t xml:space="preserve">The study presents an interesting proof-of-concept for ultrasonic-based estimation of asphalt dynamic modulus but the methodology lacks detailed signal processing description and standardized testing protocol</t>
  </si>
  <si>
    <t xml:space="preserve">Scores tied at 2; ABK/ABL emphasis resolved to Testing Methodology Focus</t>
  </si>
  <si>
    <t xml:space="preserve">App=2, Meth=2, DA=2 (SigProc=0, PropC=2, IdM=1). Scores tied at 2; ABK/ABL emphasis resolved to Testing Methodology Focus.</t>
  </si>
  <si>
    <t xml:space="preserve">P04</t>
  </si>
  <si>
    <t xml:space="preserve">Veeraragavan, R.K. and Nivedya, M.K. and Mallick, R.B.</t>
  </si>
  <si>
    <t xml:space="preserve">Accurate identification of pavement materials that are susceptible to moisture damage with the use of advanced conditioning and test methods and the use of machine learning techniques</t>
  </si>
  <si>
    <t xml:space="preserve">Moisture sensitivity, MiST conditioning process</t>
  </si>
  <si>
    <t xml:space="preserve">conventional-test comparison (Moisture sensitivity, MiST conditioning process); multiple material types (5); moisture/conditioning; cracking/damage</t>
  </si>
  <si>
    <t xml:space="preserve">configuration (UT); standard/reference (UT); temperature (UT); wave type (UT); methodological comment (UT)</t>
  </si>
  <si>
    <t xml:space="preserve">seismic modulus</t>
  </si>
  <si>
    <t xml:space="preserve">No information available | No information available</t>
  </si>
  <si>
    <t xml:space="preserve">Assessment of the effect of water on the modulus in non-destructive testing - samples after conditioning are characterized by a lower modulus.</t>
  </si>
  <si>
    <t xml:space="preserve">App=3, Meth=2, DA=1 (SigProc=0, PropC=1, IdM=1). Single highest technical score.</t>
  </si>
  <si>
    <t xml:space="preserve">P71</t>
  </si>
  <si>
    <t xml:space="preserve">Grilli, A. and Bocci, M. and Tarantino, A.M.</t>
  </si>
  <si>
    <t xml:space="preserve">Experimental investigation on fibre-reinforced cement-treated materials using reclaimed asphalt</t>
  </si>
  <si>
    <t xml:space="preserve">3-Point Bending Test (3-PBT)</t>
  </si>
  <si>
    <t xml:space="preserve">conventional-test comparison (3-Point Bending Test (3-PBT)); multiple material types (5); RAP/RAS or recycled materials</t>
  </si>
  <si>
    <t xml:space="preserve">standard/reference (UT); temperature (UT); wave type (UT); methodological comment (UT)</t>
  </si>
  <si>
    <t xml:space="preserve">P-waves/S-waves velocities, dynamic modulus of elasticity</t>
  </si>
  <si>
    <t xml:space="preserve">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t>
  </si>
  <si>
    <t xml:space="preserve">The lack of detailed information on signal processing and testing parameters may limit direct comparison with studies that apply more advanced ultrasonic or frequency-based analysis methods.</t>
  </si>
  <si>
    <t xml:space="preserve">P130</t>
  </si>
  <si>
    <t xml:space="preserve">Ramadan, K.Z. and Haddad, R.H.</t>
  </si>
  <si>
    <t xml:space="preserve">Self-healing of overloaded self-compacting concrete of rigid pavement</t>
  </si>
  <si>
    <t xml:space="preserve">Compressive strength test; stress–strain response and modulus of elasticity measurement</t>
  </si>
  <si>
    <t xml:space="preserve">conventional-test comparison (Compressive strength test; stress–strain response and modulus of elasticity measurement); cracking/damage</t>
  </si>
  <si>
    <t xml:space="preserve">P-waves/S-waves velocities, Damage index based on ultrasonic pulse velocity (UPV)</t>
  </si>
  <si>
    <t xml:space="preserve">Empirical interpretation of UPV through a damage index | Direct transit-time measurement according to ASTM C597</t>
  </si>
  <si>
    <t xml:space="preserve">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t>
  </si>
  <si>
    <t xml:space="preserve">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t>
  </si>
  <si>
    <t xml:space="preserve">App=2, Meth=2, DA=1 (SigProc=1, PropC=0, IdM=1). Scores tied at 2; ABK/ABL emphasis resolved to Application Focus.</t>
  </si>
  <si>
    <t xml:space="preserve">P114</t>
  </si>
  <si>
    <t xml:space="preserve">Chan, S and Chen, Si and Gumisiriza, G and Lee, S and Transportation Association of Canada</t>
  </si>
  <si>
    <t xml:space="preserve">Performance Comparison of CIR and CIREAM in Ontario</t>
  </si>
  <si>
    <t xml:space="preserve">Moisture sensitivity, Falling Weight Deflectometer (FWD) testing; Resilient modulus testing; Indirect Tensile Strength (ITS); Pavement condition monitoring (ARAN: IRI, rutting, cracking, PCI/DMI)</t>
  </si>
  <si>
    <t xml:space="preserve">conventional-test comparison (Moisture sensitivity, Falling Weight Deflectometer (FWD) testing; Resilient modulus testing; Indirect Tensile Strength (ITS); Pavement condition monitoring (ARAN: IRI, rutting); multiple material types (2); RAP/RAS or recycled materials</t>
  </si>
  <si>
    <t xml:space="preserve">P-waves/S-waves velocities, Relative material quality based on peak-to-peak wave amplitude</t>
  </si>
  <si>
    <t xml:space="preserve">Qualitative interpretation of ultrasonic wave characteristics (peak-to-peak amplitude) | Time of flight not explicitly determined; waveform peak-to-peak amplitude used for qualitative comparison</t>
  </si>
  <si>
    <t xml:space="preserve">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t>
  </si>
  <si>
    <t xml:space="preserve">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t>
  </si>
  <si>
    <t xml:space="preserve">P98</t>
  </si>
  <si>
    <t xml:space="preserve">Karati, Sukanta and Roy, Tapas Kumar</t>
  </si>
  <si>
    <t xml:space="preserve">Moisture damage potential of Reclaimed Asphalt Pavement (RAP) in bituminous mixes by ultrasonic pulse velocity</t>
  </si>
  <si>
    <t xml:space="preserve">Moisture sensitivity, Marshall stability and volumetric analysis; Modified Marshall immersion test; Indirect tensile strength (ITS) test</t>
  </si>
  <si>
    <t xml:space="preserve">conventional-test comparison (Moisture sensitivity, Marshall stability and volumetric analysis; Modified Marshall immersion test; Indirect tensile strength (ITS) test); RAP/RAS or recycled materials; aging; moisture/conditioning; cracking/damage</t>
  </si>
  <si>
    <t xml:space="preserve">P-waves/S-waves velocities, Dynamic modulus (estimated from UPV)</t>
  </si>
  <si>
    <t xml:space="preserve">Analytical method based on closed-form solutions of wave equations | Direct transit-time measurement using UPV PUNDIT Lab device</t>
  </si>
  <si>
    <t xml:space="preserve">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t>
  </si>
  <si>
    <t xml:space="preserve">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t>
  </si>
  <si>
    <t xml:space="preserve">App=3, Meth=3, DA=2 (SigProc=0, PropC=2, IdM=1). Scores tied at 3; ABK/ABL emphasis resolved to Application Focus.</t>
  </si>
  <si>
    <t xml:space="preserve">P82</t>
  </si>
  <si>
    <t xml:space="preserve">Al-Mufti, Rafal L. and Fried, Anton N.</t>
  </si>
  <si>
    <t xml:space="preserve">Improving the strength properties of recycled asphalt aggregate concrete</t>
  </si>
  <si>
    <t xml:space="preserve">Compressive strength test; Rebound hammer test (rebound number)</t>
  </si>
  <si>
    <t xml:space="preserve">conventional-test comparison (Compressive strength test; Rebound hammer test (rebound number)); multiple material types (2); RAP/RAS or recycled materials</t>
  </si>
  <si>
    <t xml:space="preserve">Analytical method based on closed-form solutions of wave equations | Direct transit-time measurement using PUNDIT ultrasonic pulse velocity device</t>
  </si>
  <si>
    <t xml:space="preserve">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t>
  </si>
  <si>
    <t xml:space="preserve">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t>
  </si>
  <si>
    <t xml:space="preserve">P66</t>
  </si>
  <si>
    <t xml:space="preserve">Elhafeez, T.A. and Amer, R. and Saad, A. and Kady, H.E. and Madi, M.</t>
  </si>
  <si>
    <t xml:space="preserve">Evaluation of Flexible Pavement Mixtures Using Conventional Tests and Ultrasonic Wave Propagation</t>
  </si>
  <si>
    <t xml:space="preserve">Rutting test, Marshall mix design and stability test; Indirect tensile strength (ITS); Draindown test; Loaded wheel tracking test</t>
  </si>
  <si>
    <t xml:space="preserve">conventional-test comparison (Rutting test, Marshall mix design and stability test; Indirect tensile strength (ITS); Draindown test; Loaded wheel tracking test); multiple material types (2); RAP/RAS or recycled materials; additives/modifiers</t>
  </si>
  <si>
    <t xml:space="preserve">Poisson’s ratio, Young’s/elastic modulus, shear modulus, wave velocity</t>
  </si>
  <si>
    <t xml:space="preserve">Poisson’s ratio, P-waves/S-waves velocities, Elastic modulus (E), shear modulus (G), and bulk modulus (K)</t>
  </si>
  <si>
    <t xml:space="preserve">Analytical method based on closed-form solutions of wave equations | Direct travel-time measurement using ultrasonic velocity meter</t>
  </si>
  <si>
    <t xml:space="preserve">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t>
  </si>
  <si>
    <t xml:space="preserve">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t>
  </si>
  <si>
    <t xml:space="preserve">Cylinder; Slab / plate</t>
  </si>
  <si>
    <t xml:space="preserve">P23</t>
  </si>
  <si>
    <t xml:space="preserve">Mun, S. and Lee, S.-J.</t>
  </si>
  <si>
    <t xml:space="preserve">Bayesian method to determine the dynamic material characteristics of hot-mix asphalt</t>
  </si>
  <si>
    <t xml:space="preserve">indirect tension (IDT)</t>
  </si>
  <si>
    <t xml:space="preserve">conventional-test comparison (indirect tension (IDT)); multiple material types (3); additives/modifiers</t>
  </si>
  <si>
    <t xml:space="preserve">excitation source (IR); sensors (IR); boundary conditions (IR); vibration modes (IR); temperature (IR); methodological comment (IR)</t>
  </si>
  <si>
    <t xml:space="preserve">dynamic moduli</t>
  </si>
  <si>
    <t xml:space="preserve">-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t>
  </si>
  <si>
    <t xml:space="preserve">App=2, Meth=2, DA=1 (SigProc=1, PropC=0, IdM=1). Scores tied at 2; ABK/ABL not decisive; richer form evidence favoured Testing Methodology Focus.</t>
  </si>
  <si>
    <t xml:space="preserve">P50</t>
  </si>
  <si>
    <t xml:space="preserve">Mun, S.</t>
  </si>
  <si>
    <t xml:space="preserve">Determining the Dynamic Modulus of a Viscoelastic Asphalt Mixture Using an Impact Resonance Test with Damping Effect</t>
  </si>
  <si>
    <t xml:space="preserve">Indirect tension test (IDT) with temperature and frequency sweep</t>
  </si>
  <si>
    <t xml:space="preserve">conventional-test comparison (Indirect tension test (IDT) with temperature and frequency sweep); temperature effects (multiple temperatures)</t>
  </si>
  <si>
    <t xml:space="preserve">excitation source (IR); sensors (IR); vibration modes (IR); temperature (IR); methodological comment (IR)</t>
  </si>
  <si>
    <t xml:space="preserve">FRF, coherence, modal analysis, FFT, weighting functions</t>
  </si>
  <si>
    <t xml:space="preserve">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t>
  </si>
  <si>
    <t xml:space="preserve">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t>
  </si>
  <si>
    <t xml:space="preserve">Scores tied at 2; ABK/ABL emphasis resolved to Data Analysis Type</t>
  </si>
  <si>
    <t xml:space="preserve">App=2, Meth=2, DA=2 (SigProc=2, PropC=3, IdM=1). Scores tied at 2; ABK/ABL emphasis resolved to Data Analysis Type.</t>
  </si>
  <si>
    <t xml:space="preserve">P34</t>
  </si>
  <si>
    <t xml:space="preserve">Grilli, Andrea and Graziani, Andrea and Bocci, Maurizio</t>
  </si>
  <si>
    <t xml:space="preserve">Compactability and thermal sensitivity of cement–bitumen-treated materials</t>
  </si>
  <si>
    <t xml:space="preserve">Indirect Tensile Stiffness Modulus (ITSM); Indirect Tensile Test (ITT); Proctor compaction; Shear Gyratory Compactor (SGC)</t>
  </si>
  <si>
    <t xml:space="preserve">conventional-test comparison (Indirect Tensile Stiffness Modulus (ITSM); Indirect Tensile Test (ITT); Proctor compaction; Shear Gyratory Compactor (SGC)); RAP/RAS or recycled materials; additives/modifiers; temperature effects (multiple temperatures)</t>
  </si>
  <si>
    <t xml:space="preserve">P-waves/S-waves velocities, Elastic (Young’s) modulus derived from ultrasonic pulse velocity</t>
  </si>
  <si>
    <t xml:space="preserve">Analytical method based on closed-form solutions of wave equations | Direct time-of-flight measurement between transmitting and receiving transducers</t>
  </si>
  <si>
    <t xml:space="preserve">Log-linear temperature–stiffness relationship (log S = −α·T + b)</t>
  </si>
  <si>
    <t xml:space="preserve">Evaluation and quantification of temperature sensitivity of stiffness modulus</t>
  </si>
  <si>
    <t xml:space="preserve">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t>
  </si>
  <si>
    <t xml:space="preserve">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t>
  </si>
  <si>
    <t xml:space="preserve">App=3, Meth=3, DA=1 (SigProc=0, PropC=1, IdM=1). Scores tied at 3; ABK/ABL emphasis resolved to Application Focus.</t>
  </si>
  <si>
    <t xml:space="preserve">P02</t>
  </si>
  <si>
    <t xml:space="preserve">A non-destructive approach for the predictive master curve of ASPHALT pavements using ultrasonic and deflection methods</t>
  </si>
  <si>
    <t xml:space="preserve">Complex modulus (E*), Light Weight Deflectometer (LWD) test</t>
  </si>
  <si>
    <t xml:space="preserve">conventional-test comparison (Complex modulus (E*), Light Weight Deflectometer (LWD) test)</t>
  </si>
  <si>
    <t xml:space="preserve">f-k / dispersion analysis, FFT, averaging</t>
  </si>
  <si>
    <t xml:space="preserve">P-waves/S-waves velocities, Rayleigh (surface) wave velocity and elastic (dynamic) modulus</t>
  </si>
  <si>
    <t xml:space="preserve">Analytical method based on closed-form solutions of wave equations | Manual identification of wave arrival based on first wave-front (slope of arrival-time vs. distance regression)</t>
  </si>
  <si>
    <t xml:space="preserve">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t>
  </si>
  <si>
    <t xml:space="preserve">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t>
  </si>
  <si>
    <t xml:space="preserve">In situ / pavement; Prism / beam</t>
  </si>
  <si>
    <t xml:space="preserve">App=1, Meth=3, DA=1 (SigProc=2, PropC=0, IdM=1). Single highest technical score.</t>
  </si>
  <si>
    <t xml:space="preserve">P33</t>
  </si>
  <si>
    <t xml:space="preserve">Solaimanian, M. and Boz, I.</t>
  </si>
  <si>
    <t xml:space="preserve">Characterizing RAP binder properties through impact resonance testing of asphalt mixtures</t>
  </si>
  <si>
    <t xml:space="preserve">DSR on the virgin binders at 10 ºC</t>
  </si>
  <si>
    <t xml:space="preserve">conventional-test comparison (DSR on the virgin binders at 10 ºC); multiple material types (3); RAP/RAS or recycled materials; temperature effects (multiple temperatures)</t>
  </si>
  <si>
    <t xml:space="preserve">detailed signal-based (FRF/modal/peak-based)</t>
  </si>
  <si>
    <t xml:space="preserve">The analysis focus exclusively on the resonance frequencies and damping determined with tne half-power bandwidth method.</t>
  </si>
  <si>
    <t xml:space="preserve">The half-power bandwidth method was used to determine the damping.</t>
  </si>
  <si>
    <t xml:space="preserve">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t>
  </si>
  <si>
    <t xml:space="preserve">The aspect ratios (L/D) of the specimens range from 1.2 to 2. Authors report that in other studies, they demonstrated that such aspect ratios are suitable to perform IRT.</t>
  </si>
  <si>
    <t xml:space="preserve">App=3, Meth=3, DA=2 (SigProc=1, PropC=2, IdM=2). Scores tied at 3; ABK/ABL not decisive; richer form evidence favoured Testing Methodology Focus.</t>
  </si>
  <si>
    <t xml:space="preserve">P01</t>
  </si>
  <si>
    <t xml:space="preserve">Sadeghi, Peyman and Karimi, Amirhossein and Torbatifard, Shadan and Goli, Ahmad</t>
  </si>
  <si>
    <t xml:space="preserve">A comprehensive evaluation of damping, vibration, and dynamic modulus in reclaimed asphalt pavement: The role of rejuvenators, polymer, temperature, and aging</t>
  </si>
  <si>
    <t xml:space="preserve">RAP/RAS or recycled materials; additives/modifiers; aging; density/air-void evaluation</t>
  </si>
  <si>
    <t xml:space="preserve">Norm of the complex modulus, Damping ratio</t>
  </si>
  <si>
    <t xml:space="preserve">IRT can be used to evaluate the influence of RAP, additives such as rejuvenators,  and recycled materials on the dynamic modulus and damping.</t>
  </si>
  <si>
    <t xml:space="preserve">IRT is the only test that was performed in this study.</t>
  </si>
  <si>
    <t xml:space="preserve">P139</t>
  </si>
  <si>
    <t xml:space="preserve">Zhang, Lei and Li, Tian-shuai and Tan, Yi-qiu</t>
  </si>
  <si>
    <t xml:space="preserve">The potential of using impact resonance test method evaluating the anti-freeze-thaw performance of asphalt mixture</t>
  </si>
  <si>
    <t xml:space="preserve">conventional-test comparison (Complex modulus (E*)); multiple material types (5); moisture/conditioning</t>
  </si>
  <si>
    <t xml:space="preserve">Sigmoidal, no references</t>
  </si>
  <si>
    <t xml:space="preserve">effect of freeze thaw cycle and correlation with TSR</t>
  </si>
  <si>
    <t xml:space="preserve">not deep</t>
  </si>
  <si>
    <t xml:space="preserve">P153</t>
  </si>
  <si>
    <t xml:space="preserve">Boz, I. and Bekiroglu, K. and Solaimanian, M. and Tavassoti-Kheiry, P. and Lagoa, C.</t>
  </si>
  <si>
    <t xml:space="preserve">Validation of Model Order Assumption and Noise Reduction Method for the Impact Resonance Testing of Asphalt Concrete</t>
  </si>
  <si>
    <t xml:space="preserve">damping, resonant frequency</t>
  </si>
  <si>
    <t xml:space="preserve">Resonant frequency + damping ratio</t>
  </si>
  <si>
    <t xml:space="preserve">Generalized Maxwell model</t>
  </si>
  <si>
    <t xml:space="preserve">Needed to obtain the material's parameters (resonance frequency and damping)</t>
  </si>
  <si>
    <t xml:space="preserve">Demonstrates that with the Hankel matrix method, IR asphalt concrete data can be improved, specially at high temperatures</t>
  </si>
  <si>
    <t xml:space="preserve">It focuses on IR data improvement to obtain resonance frequencies and damping, rather about the IR test on asphalt itself.</t>
  </si>
  <si>
    <t xml:space="preserve">App=0, Meth=3, DA=2 (SigProc=1, PropC=2, IdM=1). Single highest technical score.</t>
  </si>
  <si>
    <t xml:space="preserve">P123</t>
  </si>
  <si>
    <t xml:space="preserve">Hou, S. and Deng, Y. and Jin, R. and Shi, X. and Luo, X.</t>
  </si>
  <si>
    <t xml:space="preserve">Relationships between Physical, Mechanical and Acoustic Properties of Asphalt Mixtures Using Ultrasonic Testing</t>
  </si>
  <si>
    <t xml:space="preserve">conventional-test comparison (Complex modulus (E*)); multiple material types (4); additives/modifiers</t>
  </si>
  <si>
    <t xml:space="preserve">configuration (UT); temperature (UT); transducer type (UT); wave type (UT)</t>
  </si>
  <si>
    <t xml:space="preserve">correlation with air voids content</t>
  </si>
  <si>
    <t xml:space="preserve">Close to MWP</t>
  </si>
  <si>
    <t xml:space="preserve">App=2, Meth=2, DA=2 (SigProc=0, PropC=3, IdM=1). Scores tied at 2; ABK/ABL emphasis resolved to Application Focus.</t>
  </si>
  <si>
    <t xml:space="preserve">P107</t>
  </si>
  <si>
    <t xml:space="preserve">Nonlinear ultrasonic characterization of material deterioration of asphalt mixture during cracking-healing cycles</t>
  </si>
  <si>
    <t xml:space="preserve">non linear parameter</t>
  </si>
  <si>
    <t xml:space="preserve">New techniques for cracking</t>
  </si>
  <si>
    <t xml:space="preserve">P75</t>
  </si>
  <si>
    <t xml:space="preserve">Singh, Manpreet and Adhikari, Anuj and Maurya, Manish Kumar and Srivastava, Anshuman and Chhabra, Rishi Singh</t>
  </si>
  <si>
    <t xml:space="preserve">Feasibility Study on Use of Washed-Reclaimed Asphalt as a Partial Replacement of Natural Aggregate in Dry-Lean Concrete as Base Course for Rigid Pavement</t>
  </si>
  <si>
    <t xml:space="preserve">Moisture sensitivity, Rebound Hammer</t>
  </si>
  <si>
    <t xml:space="preserve">conventional-test comparison (Moisture sensitivity, Rebound Hammer); multiple material types (5); RAP/RAS or recycled materials</t>
  </si>
  <si>
    <t xml:space="preserve">App=2, Meth=2, DA=2 (SigProc=0, PropC=2, IdM=1). Scores tied at 2; ABK/ABL not decisive; richer form evidence favoured Application Focus.</t>
  </si>
  <si>
    <t xml:space="preserve">P89</t>
  </si>
  <si>
    <t xml:space="preserve">Investigating the effect of rejuvenators on low-temperature properties of recycled asphalt using impact resonance test</t>
  </si>
  <si>
    <t xml:space="preserve">multiple material types (2); RAP/RAS or recycled materials; additives/modifiers; temperature effects (multiple temperatures)</t>
  </si>
  <si>
    <t xml:space="preserve">Modulus derived from resonant freq</t>
  </si>
  <si>
    <t xml:space="preserve">Simple method to dose rejuvenators on RAP</t>
  </si>
  <si>
    <t xml:space="preserve">RAP, IR on asphalt mixtures and study of bitumen blends with additives</t>
  </si>
  <si>
    <t xml:space="preserve">P59</t>
  </si>
  <si>
    <t xml:space="preserve">Benaboud, S. and Takarli, M. and Allou, F. and Dubois, F. and Nicolaï, A. and Pouteau, B. and Beghin, A.</t>
  </si>
  <si>
    <t xml:space="preserve">Efficiency of Ultrasonic Pulse Velocity Test in the Determination of Residual Asphalt Mix Pavement Properties</t>
  </si>
  <si>
    <t xml:space="preserve">Analytical method based on closed-form solutions of wave equations | Hinkley criterion, AIC, maximum method</t>
  </si>
  <si>
    <t xml:space="preserve">signal processing</t>
  </si>
  <si>
    <t xml:space="preserve">App=0, Meth=2, DA=1 (SigProc=0, PropC=0, IdM=1). Single highest technical score.</t>
  </si>
  <si>
    <t xml:space="preserve">P43</t>
  </si>
  <si>
    <t xml:space="preserve">Zhang, W. and Akber, M.A. and Hou, S. and Bian, J. and Zhang, D. and Le, Q.</t>
  </si>
  <si>
    <t xml:space="preserve">Detection of dynamic modulus and crack properties of asphalt pavement using a non-destructive ultrasonic wave method</t>
  </si>
  <si>
    <t xml:space="preserve">conventional-test comparison (Complex modulus (E*)); multiple material types (4); cracking/damage</t>
  </si>
  <si>
    <t xml:space="preserve">central frequency (UT); configuration (UT); repetitions (UT); temperature (UT); transducer type (UT)</t>
  </si>
  <si>
    <t xml:space="preserve">App=2, Meth=2, DA=2 (SigProc=0, PropC=2, IdM=1). Scores tied at 2; ABK/ABL not decisive; richer form evidence favoured Testing Methodology Focus.</t>
  </si>
  <si>
    <t xml:space="preserve">P11</t>
  </si>
  <si>
    <t xml:space="preserve">Zargar, M. and Banerjee, S. and Bullen, F. and Ayers, R.</t>
  </si>
  <si>
    <t xml:space="preserve">An investigation into the use of ultrasonic wave transmission techniques to evaluate air voids in asphalt</t>
  </si>
  <si>
    <t xml:space="preserve">Air voids</t>
  </si>
  <si>
    <t xml:space="preserve">conventional-test comparison (Air voids); multiple material types (3); additives/modifiers; density/air-void evaluation</t>
  </si>
  <si>
    <t xml:space="preserve">linear regression with air voids</t>
  </si>
  <si>
    <t xml:space="preserve">App=3, Meth=3, DA=1 (SigProc=0, PropC=0, IdM=1). Scores tied at 3; ABK/ABL not decisive; richer form evidence favoured Testing Methodology Focus.</t>
  </si>
  <si>
    <t xml:space="preserve">P164</t>
  </si>
  <si>
    <t xml:space="preserve">Carret, J.-C. and Di Benedetto, H. and Sauzéat, C.</t>
  </si>
  <si>
    <t xml:space="preserve">Characterization of asphalt mixes behaviour from dynamic tests and comparison with conventional cyclic tension-compression tests</t>
  </si>
  <si>
    <t xml:space="preserve">Demonstrated that impact resonance testing can be used to determine the linear viscoelastic properties of asphalt mixtures and showed good agreement with conventional cyclic tension–compression test results over a wide range of temperatures and frequencies.</t>
  </si>
  <si>
    <t xml:space="preserve">One of the few studies directly comparing IRT results with conventional cyclic tension–compression measurements using 2S2P1D rheological modeling and master curves for validation.</t>
  </si>
  <si>
    <t xml:space="preserve">App=2, Meth=3, DA=3 (SigProc=2, PropC=3, IdM=3). Scores tied at 3; ABK/ABL emphasis resolved to Data Analysis Type.</t>
  </si>
  <si>
    <t xml:space="preserve">P46</t>
  </si>
  <si>
    <t xml:space="preserve">Underwood, S. and Kim, Y.R.</t>
  </si>
  <si>
    <t xml:space="preserve">Determination of Depth of Surface Cracks in Asphalt Pavements</t>
  </si>
  <si>
    <t xml:space="preserve">Surface Wave Testing (SWT) /</t>
  </si>
  <si>
    <t xml:space="preserve">conventional-test comparison (Surface Wave Testing (SWT) /); cracking/damage</t>
  </si>
  <si>
    <t xml:space="preserve">central frequency (UT); configuration (UT); standard/reference (UT); transducer type (UT); wave type (UT); methodological comment (UT)</t>
  </si>
  <si>
    <t xml:space="preserve">First demonstration that UT and surface waves can be used to estimate surface-crack depth in asphalt pavements nondestructively, with UT showing the greatest practical potential.</t>
  </si>
  <si>
    <t xml:space="preserve">Focuses on crack-depth detection rather than material-property characterization; UT was more practical than surface-wave testing because it did not require baseline wave properties.</t>
  </si>
  <si>
    <t xml:space="preserve">P55</t>
  </si>
  <si>
    <t xml:space="preserve">Al-Zajrawi, A.K. and Mashkur, B.T. and Al-Zahra, Z.A.</t>
  </si>
  <si>
    <t xml:space="preserve">Effect of Silica on Hot Mix Asphalt Mixture</t>
  </si>
  <si>
    <t xml:space="preserve">standard/reference (UT)</t>
  </si>
  <si>
    <t xml:space="preserve">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t>
  </si>
  <si>
    <t xml:space="preserve">App=0, Meth=1, DA=0 (SigProc=0, PropC=0, IdM=0). Single highest technical score.</t>
  </si>
  <si>
    <t xml:space="preserve">P116</t>
  </si>
  <si>
    <t xml:space="preserve">Azizah, N. and Tjaronge, M.W. and Amiruddin, A.A. and Lando, A.T.</t>
  </si>
  <si>
    <t xml:space="preserve">Performance of Asphalt Concrete Mixtures Containing Nickel Slag</t>
  </si>
  <si>
    <t xml:space="preserve">Marshall Test</t>
  </si>
  <si>
    <t xml:space="preserve">conventional-test comparison (Marshall Test); multiple material types (2)</t>
  </si>
  <si>
    <t xml:space="preserve">Validated UPV as a nondestructive predictor of Marshall Stability and demonstrated the beneficial effect of nickel slag aggregate on asphalt-mixture performance.</t>
  </si>
  <si>
    <t xml:space="preserve">Focuses on UPV–Marshall correlations rather than modulus determination; evaluates alternative aggregates (nickel slag) instead of damage detection or viscoelastic characterization.</t>
  </si>
  <si>
    <t xml:space="preserve">P105</t>
  </si>
  <si>
    <t xml:space="preserve">Nondestructive field evaluation of aging levels of rejuvenated asphalt concrete pavements</t>
  </si>
  <si>
    <t xml:space="preserve">additives/modifiers; aging; field/pavement assessment</t>
  </si>
  <si>
    <t xml:space="preserve">central frequency (UT); configuration (UT); repetitions (UT); transducer type (UT); wave type (UT); methodological comment (UT)</t>
  </si>
  <si>
    <t xml:space="preserve">P-waves/S-waves velocities, Attenuation</t>
  </si>
  <si>
    <t xml:space="preserve">Two dilatational waves interact to produce a shear wave polarized in the k1-k2 plane with a difference frequency f3 = f1 − f2.</t>
  </si>
  <si>
    <t xml:space="preserve">Nonlinear ultrasonic wave mixing to asphalt, use of fixed-angle technique</t>
  </si>
  <si>
    <t xml:space="preserve">This is probably a techinque not used in other papers. But can be used in comparison to other papers that asses aging.</t>
  </si>
  <si>
    <t xml:space="preserve">P63</t>
  </si>
  <si>
    <t xml:space="preserve">Yadav Shivpal, Kusam Abhilash and Tayebali Akhtarhusein A</t>
  </si>
  <si>
    <t xml:space="preserve">Evaluating Moisture Damage Using Impact Resonance Test</t>
  </si>
  <si>
    <t xml:space="preserve">Moisture sensitivity, tensile strength ratio (TSR)</t>
  </si>
  <si>
    <t xml:space="preserve">conventional-test comparison (Moisture sensitivity, tensile strength ratio (TSR)); multiple material types (3); additives/modifiers; moisture/conditioning; cracking/damage</t>
  </si>
  <si>
    <t xml:space="preserve">excitation source (IR); sensors (IR); boundary conditions (IR); vibration modes (IR); repetitions (IR); methodological comment (IR)</t>
  </si>
  <si>
    <t xml:space="preserve">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t>
  </si>
  <si>
    <t xml:space="preserve">Study limitations: Lack of a direct comparison of mechanical properties obtained from IR testing and traditional testing for a more complete assessment of the impact of moisture damage and the two protocols adopted.</t>
  </si>
  <si>
    <t xml:space="preserve">P101</t>
  </si>
  <si>
    <t xml:space="preserve">Carret, JC and Di Benedetto, H and Sauzeat, C</t>
  </si>
  <si>
    <t xml:space="preserve">Multi Modal Dynamic Linear Viscoelastic Back Analysis for Asphalt Mixes</t>
  </si>
  <si>
    <t xml:space="preserve">This study proposed a simplified back analysis method that gives good results, both for the norm of the complex modulus and for the phase angle at low and intermediate temperatures.</t>
  </si>
  <si>
    <t xml:space="preserve">It is an important study that is highly relevant to the MWP scope.</t>
  </si>
  <si>
    <t xml:space="preserve">P47</t>
  </si>
  <si>
    <t xml:space="preserve">Kim, D. and Kim, Y.R.</t>
  </si>
  <si>
    <t xml:space="preserve">Determination of dynamic modulus values of asphalt mixtures using impact resonance testing of thin disk specimens</t>
  </si>
  <si>
    <t xml:space="preserve">Sigmoidal, The |E*| value at the low reduced frequency was estimated using the predictive equation, that utilizes the dynamic shear modulus (|G*|) value</t>
  </si>
  <si>
    <t xml:space="preserve">-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t>
  </si>
  <si>
    <t xml:space="preserve">P137</t>
  </si>
  <si>
    <t xml:space="preserve">The effect of aspect ratio on the frequency response of asphalt concrete in impact resonance testing</t>
  </si>
  <si>
    <t xml:space="preserve">It is only stated that wave velocity it is related to densities which are indicatie of material properties, i.e. Young's modulus</t>
  </si>
  <si>
    <t xml:space="preserve">In deep analysis of geometry of the specimens in IRT results</t>
  </si>
  <si>
    <t xml:space="preserve">Compare with papers that deal with IRT and geometry of specimens</t>
  </si>
  <si>
    <t xml:space="preserve">App=0, Meth=3, DA=1 (SigProc=1, PropC=0, IdM=1). Single highest technical score.</t>
  </si>
  <si>
    <t xml:space="preserve">P85</t>
  </si>
  <si>
    <t xml:space="preserve">Ucak, Kaan and Fromme, Paul and Duffour, Philippe and Chen, Lou and Bai, Yun</t>
  </si>
  <si>
    <t xml:space="preserve">Influence of replacing Portland cement with anionic asphalt emulsion on vibration damping, mechanical and microstructural properties of concrete</t>
  </si>
  <si>
    <t xml:space="preserve">Norm of the complex modulus, Loss factor</t>
  </si>
  <si>
    <t xml:space="preserve">They used IRT for cement asphalt emulsion composite.</t>
  </si>
  <si>
    <t xml:space="preserve">This study did not investigate traditional asphalt materials.</t>
  </si>
  <si>
    <t xml:space="preserve">P69</t>
  </si>
  <si>
    <t xml:space="preserve">Khazanovich, L. and Velasquez, R. and Nesvijski, E.G.</t>
  </si>
  <si>
    <t xml:space="preserve">2005</t>
  </si>
  <si>
    <t xml:space="preserve">Evaluation of top-down cracks in asphalt pavements by using a self-calibrating ultrasonic technique</t>
  </si>
  <si>
    <t xml:space="preserve">central frequency (UT); configuration (UT); transducer type (UT); methodological comment (UT)</t>
  </si>
  <si>
    <t xml:space="preserve">The authors used a portable ultrasonic device to evaluate the extent (depth) of cracking by conducting tests on notched beam samples and on MnROAD test sections.</t>
  </si>
  <si>
    <t xml:space="preserve">This study mainly investigated the use of UT in pavement surface cracking evaluation.</t>
  </si>
  <si>
    <t xml:space="preserve">App=1, Meth=2, DA=0 (SigProc=0, PropC=0, IdM=0). Single highest technical score.</t>
  </si>
  <si>
    <t xml:space="preserve">P53</t>
  </si>
  <si>
    <t xml:space="preserve">Apaza Apaza, F.R. and Vázquez, V.F. and Paje, S.E. and Gulisano, F. and Rodríguez, L.S. and Gallego, J.</t>
  </si>
  <si>
    <t xml:space="preserve">Dynamic stiffness assessment: a non-destructive testing approach for estimating density and air void content in asphalt mixtures</t>
  </si>
  <si>
    <t xml:space="preserve">Dynamic stiffness test via non-resonance method</t>
  </si>
  <si>
    <t xml:space="preserve">conventional-test comparison (Dynamic stiffness test via non-resonance method); multiple material types (5); additives/modifiers; density/air-void evaluation; mixture comparison</t>
  </si>
  <si>
    <t xml:space="preserve">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</si>
  <si>
    <t xml:space="preserve">P09</t>
  </si>
  <si>
    <t xml:space="preserve">Mallick, Rajib B. and Nivedya, M.K. and Veeraragavan, Ramkumar and Nazarian, Soheil and Tirado, Cesar</t>
  </si>
  <si>
    <t xml:space="preserve">An alternative approach to testing of moisture susceptibility of recycled pavement materials</t>
  </si>
  <si>
    <t xml:space="preserve">multiple material types (3); RAP/RAS or recycled materials; moisture/conditioning</t>
  </si>
  <si>
    <t xml:space="preserve">configuration (UT); repetitions (UT); standard/reference (UT); temperature (UT); wave type (UT); methodological comment (UT)</t>
  </si>
  <si>
    <t xml:space="preserve">seismic modulus, wave velocity</t>
  </si>
  <si>
    <t xml:space="preserve">P-waves/S-waves velocities, Seismic modulus derived from wave velocity</t>
  </si>
  <si>
    <t xml:space="preserve">Ultrasonic wave velocity is sensitive to moisture-induced damage in composite asphalt systems</t>
  </si>
  <si>
    <t xml:space="preserve">Composite (multi-layers) cylindrical specimens, effect of moisture damage with UT</t>
  </si>
  <si>
    <t xml:space="preserve">P41</t>
  </si>
  <si>
    <t xml:space="preserve">Wu, Jinrong and Hu, Yanyan and Jin, Qingfen and Zhao, Wenzhu</t>
  </si>
  <si>
    <t xml:space="preserve">Degradation of SMA-13 low-temperature performance under coupled dry and wet-salt corrosion</t>
  </si>
  <si>
    <t xml:space="preserve">Semi-circular bending test (SCB) &amp; Scanning Electron Microscopy (SEM)</t>
  </si>
  <si>
    <t xml:space="preserve">conventional-test comparison (Semi-circular bending test (SCB) &amp; Scanning Electron Microscopy (SEM)); additives/modifiers; field/pavement assessment</t>
  </si>
  <si>
    <t xml:space="preserve">methodological comment (UT)</t>
  </si>
  <si>
    <t xml:space="preserve">Only wave velocity vs fiber concentration in SCB specimens are reported, no detail about UT procedure is given</t>
  </si>
  <si>
    <t xml:space="preserve">Half-moon / SCB</t>
  </si>
  <si>
    <t xml:space="preserve">App=2, Meth=0, DA=1 (SigProc=0, PropC=0, IdM=0). Single highest technical score.</t>
  </si>
  <si>
    <t xml:space="preserve">P73</t>
  </si>
  <si>
    <t xml:space="preserve">Arnaud, L. and Houel, A.</t>
  </si>
  <si>
    <t xml:space="preserve">Fatigue Damage of Asphalt Pavement on an Orthotropic Bridge Deck: Mechanical Monitoring with Ultrasonic Wave Propagation</t>
  </si>
  <si>
    <t xml:space="preserve">Fatigue test</t>
  </si>
  <si>
    <t xml:space="preserve">conventional-test comparison (Fatigue test); cracking/damage; fatigue</t>
  </si>
  <si>
    <t xml:space="preserve">Linear viscoelastic</t>
  </si>
  <si>
    <t xml:space="preserve">Real-time monitoring of fatigue damage using UT</t>
  </si>
  <si>
    <t xml:space="preserve">Fatigue, damage evolution on cylindrical and prismatic specimens</t>
  </si>
  <si>
    <t xml:space="preserve">P25</t>
  </si>
  <si>
    <t xml:space="preserve">Characterisation of oxidative ageing in asphalt concrete - Part 1: Ultrasonic velocity and attenuation measurements and acoustic emission response under thermal cooling</t>
  </si>
  <si>
    <t xml:space="preserve">Thermal cracking test</t>
  </si>
  <si>
    <t xml:space="preserve">conventional-test comparison (Thermal cracking test); aging</t>
  </si>
  <si>
    <t xml:space="preserve">Effect of ageing on MWP methods</t>
  </si>
  <si>
    <t xml:space="preserve">compare to other studies involving ageing</t>
  </si>
  <si>
    <t xml:space="preserve">Half-moon / SCB; Prism / beam</t>
  </si>
  <si>
    <t xml:space="preserve">P21</t>
  </si>
  <si>
    <t xml:space="preserve">Bekele, A. and Ryden, N. and Gudmarsson, A. and Birgisson, B.</t>
  </si>
  <si>
    <t xml:space="preserve">Automated Non-contact Resonance Excitation Method to Assess Low Temperature Dynamic Modulus of Asphalt Concrete</t>
  </si>
  <si>
    <t xml:space="preserve">non-contact resonance excitation</t>
  </si>
  <si>
    <t xml:space="preserve">conventional-test comparison (non-contact resonance excitation)</t>
  </si>
  <si>
    <t xml:space="preserve">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t>
  </si>
  <si>
    <t xml:space="preserve">It is a relevant MWP test methods but not IRT or UT.</t>
  </si>
  <si>
    <t xml:space="preserve">P108</t>
  </si>
  <si>
    <t xml:space="preserve">Tavassoti, Pejoohan and Ameen, Taher H and Baaj, Hassan and Cascante, Giovanni</t>
  </si>
  <si>
    <t xml:space="preserve">Novel analysis of ultrasonic pulse propagation tests for characterization of asphalt concrete</t>
  </si>
  <si>
    <t xml:space="preserve">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t>
  </si>
  <si>
    <t xml:space="preserve">The study shows better capability in capturing low-temperature/high-frequency behavior, where traditional tests are limited.</t>
  </si>
  <si>
    <t xml:space="preserve">P124</t>
  </si>
  <si>
    <t xml:space="preserve">Pratama, A.P. and Caronge, M.A. and Tjaronge, M.W.</t>
  </si>
  <si>
    <t xml:space="preserve">Reliability laboratory investigation of hot asphalt mixtures containing stone dust and cement as fillers: combined compressive strength and ultrasonic pulse velocity</t>
  </si>
  <si>
    <t xml:space="preserve">Compressive strength test (UTM)</t>
  </si>
  <si>
    <t xml:space="preserve">conventional-test comparison (Compressive strength test (UTM)); multiple material types (2)</t>
  </si>
  <si>
    <t xml:space="preserve">Dynamic modulus indirectly</t>
  </si>
  <si>
    <t xml:space="preserve">UPV results are qualitatively correlated with compressive strength and do not capture the viscoelastic (frequency- and temperature-dependent) behavior of asphalt mixtures.</t>
  </si>
  <si>
    <t xml:space="preserve">App=2, Meth=1, DA=2 (SigProc=0, PropC=2, IdM=1). Scores tied at 2; ABK/ABL not decisive; richer form evidence favoured Application Focus.</t>
  </si>
  <si>
    <t xml:space="preserve">P60</t>
  </si>
  <si>
    <t xml:space="preserve">Medina, J.R. and Underwood, B.S. and Mamlouk, M.</t>
  </si>
  <si>
    <t xml:space="preserve">Estimation of asphalt concrete modulus using the ultrasonic pulse velocity test</t>
  </si>
  <si>
    <t xml:space="preserve">conventional-test comparison (Complex modulus (E*)); multiple material types (2); additives/modifiers; temperature effects (multiple temperatures)</t>
  </si>
  <si>
    <t xml:space="preserve">This study demonstrates that UPV-derived modulus can predict mechanical E* at high frequencies. Also, UPV + Witczak / Hirsch models improve the prediction across frequency range.</t>
  </si>
  <si>
    <t xml:space="preserve">Scores tied at 3; ABK/ABL not decisive; richer form evidence favoured Application Focus</t>
  </si>
  <si>
    <t xml:space="preserve">App=3, Meth=3, DA=2 (SigProc=0, PropC=2, IdM=1). Scores tied at 3; ABK/ABL not decisive; richer form evidence favoured Application Focus.</t>
  </si>
  <si>
    <t xml:space="preserve">P14</t>
  </si>
  <si>
    <t xml:space="preserve">Tigdemir, Mesut and Kalyoncuoglu, S.Figen and Kalyoncuoglu, U.Yalcin</t>
  </si>
  <si>
    <t xml:space="preserve">2004</t>
  </si>
  <si>
    <t xml:space="preserve">Application of ultrasonic method in asphalt concrete testing for fatigue life estimation</t>
  </si>
  <si>
    <t xml:space="preserve">conventional-test comparison (Fatigue test); additives/modifiers; fatigue</t>
  </si>
  <si>
    <t xml:space="preserve">Poisson’s ratio, wave velocity</t>
  </si>
  <si>
    <t xml:space="preserve">Poisson’s ratio, P-waves/S-waves velocities</t>
  </si>
  <si>
    <t xml:space="preserve">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t>
  </si>
  <si>
    <t xml:space="preserve">One of the earlier studies applying ultrasonic testing to asphalt mixtures for fatigue-life prediction.</t>
  </si>
  <si>
    <t xml:space="preserve">P54</t>
  </si>
  <si>
    <t xml:space="preserve">Tavassoti-Kheiry, P. and Boz, I. and Solaimanian, M. and Barzegari, S.</t>
  </si>
  <si>
    <t xml:space="preserve">Effect of age hardening on modulus of warm mix asphalt mixtures</t>
  </si>
  <si>
    <t xml:space="preserve">multiple material types (4); additives/modifiers; aging</t>
  </si>
  <si>
    <t xml:space="preserve">Young's modulus</t>
  </si>
  <si>
    <t xml:space="preserve">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t>
  </si>
  <si>
    <t xml:space="preserve">App=2, Meth=3, DA=2 (SigProc=1, PropC=1, IdM=1). Single highest technical score.</t>
  </si>
  <si>
    <t xml:space="preserve">P138</t>
  </si>
  <si>
    <t xml:space="preserve">Al-Azawee, E.T. and Qasim, Z.I.</t>
  </si>
  <si>
    <t xml:space="preserve">The influence of crumb rubber modifier (CRM) on the properties of asphalt concrete mixtures</t>
  </si>
  <si>
    <t xml:space="preserve">multiple material types (4); additives/modifiers</t>
  </si>
  <si>
    <t xml:space="preserve">central frequency (UT); standard/reference (UT); wave type (UT)</t>
  </si>
  <si>
    <t xml:space="preserve">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t>
  </si>
  <si>
    <t xml:space="preserve">P90</t>
  </si>
  <si>
    <t xml:space="preserve">Özgan, Ercan and Serin, Sercan</t>
  </si>
  <si>
    <t xml:space="preserve">Investigation of certain engineering characteristics of asphalt concrete exposed to freeze–thaw cycles</t>
  </si>
  <si>
    <t xml:space="preserve">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t>
  </si>
  <si>
    <t xml:space="preserve">P58</t>
  </si>
  <si>
    <t xml:space="preserve">Aziez, Mohammed Nadjib and Achour, Abderraouf and Bahaz, Abdesselam and Lakhdari, Zinelabidine</t>
  </si>
  <si>
    <t xml:space="preserve">Effect of waste brick powder rich in SiO2 on the physical and mechanical properties of Portland cement concrete containing coarse recycled asphalt pavement aggregates (RAP)</t>
  </si>
  <si>
    <t xml:space="preserve">central frequency (UT); wave type (UT)</t>
  </si>
  <si>
    <t xml:space="preserve">Therefore, this article falls outside the scope of the TC MWP systematic review, because nvestigates Portland cement concrete containing recycled asphalt pavement (RAP) aggregates rather than asphalt mixtures.</t>
  </si>
  <si>
    <t xml:space="preserve">App=1, Meth=1, DA=0 (SigProc=0, PropC=0, IdM=0). Scores tied at 1; ABK/ABL emphasis resolved to Application Focus.</t>
  </si>
  <si>
    <t xml:space="preserve">P74</t>
  </si>
  <si>
    <t xml:space="preserve">Wu, J.</t>
  </si>
  <si>
    <t xml:space="preserve">Fatigue test of asphalt mixture and ultrasonic forecast</t>
  </si>
  <si>
    <t xml:space="preserve">fatigue</t>
  </si>
  <si>
    <t xml:space="preserve">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t>
  </si>
  <si>
    <t xml:space="preserve">P42</t>
  </si>
  <si>
    <t xml:space="preserve">Jimoh, Y A and Itiola, Idowu Oluwabunmi and Afolabi, A A</t>
  </si>
  <si>
    <t xml:space="preserve">Destructive and non-destructive determination of resilient modulus of hot mix asphalt under different environmental conditions</t>
  </si>
  <si>
    <t xml:space="preserve">Indirect Tensile Test</t>
  </si>
  <si>
    <t xml:space="preserve">conventional-test comparison (Indirect Tensile Test); temperature effects (multiple temperatures)</t>
  </si>
  <si>
    <t xml:space="preserve">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t>
  </si>
  <si>
    <t xml:space="preserve">Unlike many studies that use UPV only as a qualitative indicator of material condition, this work directly estimates resilient modulus from ultrasonic pulse velocity and validates the results against destructive indirect tensile testing.</t>
  </si>
  <si>
    <t xml:space="preserve">P122</t>
  </si>
  <si>
    <t xml:space="preserve">1998</t>
  </si>
  <si>
    <t xml:space="preserve">Relationships among rate-dependent stiffnesses of asphalt concrete using laboratory and field test methods</t>
  </si>
  <si>
    <t xml:space="preserve">Complex modulus (E*), Surface wave</t>
  </si>
  <si>
    <t xml:space="preserve">conventional-test comparison (Complex modulus (E*), Surface wave); multiple material types (3); field/pavement assessment; temperature effects (multiple temperatures)</t>
  </si>
  <si>
    <t xml:space="preserve">Young’s/elastic modulus, stiffness, resonant frequency</t>
  </si>
  <si>
    <t xml:space="preserve">Resonant frequency and dynamic elastic modulus (stiffness)</t>
  </si>
  <si>
    <t xml:space="preserve">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t>
  </si>
  <si>
    <t xml:space="preserve">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t>
  </si>
  <si>
    <t xml:space="preserve">App=3, Meth=3, DA=2 (SigProc=1, PropC=1, IdM=1). Scores tied at 3; ABK/ABL emphasis resolved to Application Focus.</t>
  </si>
  <si>
    <t xml:space="preserve">P166</t>
  </si>
  <si>
    <t xml:space="preserve">Determination of the frequency dependent dynamic modulus for asphalt concrete beams using resonant acoustic spectroscopy</t>
  </si>
  <si>
    <t xml:space="preserve">numerical inverse / back-analysis, direct analytical / empirical equation</t>
  </si>
  <si>
    <t xml:space="preserve">Demonstrated the application of Resonant Acoustic Spectroscopy (RAS) to determine the frequency-dependent dynamic modulus of asphalt concrete beams using multiple resonance modes, extending the usable frequency range compared with the conventional ASTM E1876-99 approach.</t>
  </si>
  <si>
    <t xml:space="preserve">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t>
  </si>
  <si>
    <t xml:space="preserve">App=0, Meth=3, DA=3 (SigProc=1, PropC=2, IdM=3). Scores tied at 3; ABK/ABL emphasis resolved to Data Analysis Type.</t>
  </si>
  <si>
    <t xml:space="preserve">P154</t>
  </si>
  <si>
    <t xml:space="preserve">Bekele, Abiy and Ryden, Nils and Gudmarsson, Anders and Birgisson, Björn</t>
  </si>
  <si>
    <t xml:space="preserve">Effect of cyclic low temperature conditioning on stiffness modulus of asphalt concrete based on non-contact resonance testing method</t>
  </si>
  <si>
    <t xml:space="preserve">multiple material types (3); moisture/conditioning</t>
  </si>
  <si>
    <t xml:space="preserve">stiffness</t>
  </si>
  <si>
    <t xml:space="preserve">Stiffness Modulus</t>
  </si>
  <si>
    <t xml:space="preserve">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t>
  </si>
  <si>
    <t xml:space="preserve">Unlike conventional impact resonance studies using an impact hammer, this study employs a loudspeaker-based non-contact excitation inside an environmental chamber, minimizing thermal disturbance during testing.</t>
  </si>
  <si>
    <t xml:space="preserve">App=2, Meth=3, DA=2 (SigProc=0, PropC=1, IdM=2). Single highest technical score.</t>
  </si>
  <si>
    <t xml:space="preserve">P100</t>
  </si>
  <si>
    <t xml:space="preserve">Abo-Qudais, S. and Suleiman, A.</t>
  </si>
  <si>
    <t xml:space="preserve">Monitoring fatigue famage and crack healing by ultrasound wave velocity</t>
  </si>
  <si>
    <t xml:space="preserve">conventional-test comparison (Fatigue test); multiple material types (3); cracking/damage; fatigue</t>
  </si>
  <si>
    <t xml:space="preserve">Direct ToF measured by PUNDIT instrument</t>
  </si>
  <si>
    <t xml:space="preserve">Demonstrated that UPV can monitor fatigue damage and crack healing in asphalt mixtures.</t>
  </si>
  <si>
    <t xml:space="preserve">Uses UT (UPV) to track fatigue damage and healing instead of stiffness characterization.</t>
  </si>
  <si>
    <t xml:space="preserve">App=3, Meth=3, DA=1 (SigProc=0, PropC=0, IdM=0). Scores tied at 3; ABK/ABL emphasis resolved to Application Focus.</t>
  </si>
  <si>
    <t xml:space="preserve">P160</t>
  </si>
  <si>
    <t xml:space="preserve">Gudmarsson, A. and Ryden, N.</t>
  </si>
  <si>
    <t xml:space="preserve">Apps for modal analysis to characterize the complex modulus of asphalt concrete</t>
  </si>
  <si>
    <t xml:space="preserve">Developed software tools to determine the complex modulus and complex Poisson's ratio using modal analysis.</t>
  </si>
  <si>
    <t xml:space="preserve">Uses FRFs and FEM optimization instead of conventional impact resonance analysis.</t>
  </si>
  <si>
    <t xml:space="preserve">P61</t>
  </si>
  <si>
    <t xml:space="preserve">Estimation of oxidative ageing in asphalt concrete pavements using non-collinear wave mixing of critically-refracted longitudinal waves</t>
  </si>
  <si>
    <t xml:space="preserve">Acoustic nonlinearity parameter (β)</t>
  </si>
  <si>
    <t xml:space="preserve">Acoustic nonlinearity parameter (β) based on the third harmonic amplitude.</t>
  </si>
  <si>
    <t xml:space="preserve">Introduced non-collinear ultrasonic wave mixing to assess oxidative ageing in asphalt concrete.</t>
  </si>
  <si>
    <t xml:space="preserve">Uses nonlinear ultrasonic wave mixing instead of conventional linear ultrasonic testing.</t>
  </si>
  <si>
    <t xml:space="preserve">App=0, Meth=2, DA=1 (SigProc=1, PropC=0, IdM=1). Single highest technical score.</t>
  </si>
  <si>
    <t xml:space="preserve">P172</t>
  </si>
  <si>
    <t xml:space="preserve">Rezaeizadeh Herozi, M. and Carret, J.-C. and Babadopulos, L.F.A.L. and Bilodeau, K.</t>
  </si>
  <si>
    <t xml:space="preserve">Numerical and Experimental Investigation of the Appropriate Geometry of Asphalt Specimens for Quality Control Using Impact Resonance Tests</t>
  </si>
  <si>
    <t xml:space="preserve">Identified the most suitable specimen geometry for quality control using Impact Resonance Tests.</t>
  </si>
  <si>
    <t xml:space="preserve">Focuses on specimen geometry optimization rather than mechanical property determination.</t>
  </si>
  <si>
    <t xml:space="preserve">App=1, Meth=3, DA=1 (SigProc=1, PropC=0, IdM=3). Single highest technical score.</t>
  </si>
  <si>
    <t xml:space="preserve">P76</t>
  </si>
  <si>
    <t xml:space="preserve">Bani Baker, M.I. and Abendeh, R.M. and Khasawneh, M.A.</t>
  </si>
  <si>
    <t xml:space="preserve">Freeze and Thaw Effect on Asphalt Concrete Mixtures Modified with Natural Bentonite Clay</t>
  </si>
  <si>
    <t xml:space="preserve">conventional-test comparison (Moisture sensitivity); additives/modifiers; moisture/conditioning; density/air-void evaluation</t>
  </si>
  <si>
    <t xml:space="preserve">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t>
  </si>
  <si>
    <t xml:space="preserve">This study evaluates UT (UPV) as a damage assessment tool under freeze–thaw conditioning and compares it with Marshall Stability/Flow. Unlike many MWP studies, it does not include Impact Resonance (IRT), complex modulus (E), rheological modeling, or master-curve analysis.</t>
  </si>
  <si>
    <t xml:space="preserve">App=3, Meth=1, DA=1 (SigProc=0, PropC=0, IdM=1). Single highest technical score.</t>
  </si>
  <si>
    <t xml:space="preserve">P112</t>
  </si>
  <si>
    <t xml:space="preserve">Çakı, M. and Baş, F.İ.</t>
  </si>
  <si>
    <t xml:space="preserve">Optimizing Bitumen Performance in Warm Mix Asphalt Using Cecabase RT BIO10: A Taguchi-Based Experimental Approach</t>
  </si>
  <si>
    <t xml:space="preserve">central frequency (UT); configuration (UT); standard/reference (UT); transducer type (UT); wave type (UT)</t>
  </si>
  <si>
    <t xml:space="preserve">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t>
  </si>
  <si>
    <t xml:space="preserve">Can be excluded from the review</t>
  </si>
  <si>
    <t xml:space="preserve">Warm Mixture Asphalt (WMA)</t>
  </si>
  <si>
    <t xml:space="preserve">P169</t>
  </si>
  <si>
    <t xml:space="preserve">Gudmarsson, A. and Ryden, N. and Di Benedetto, H. and Sauzéat, C. and Tapsoba, N. and Birgisson, B.</t>
  </si>
  <si>
    <t xml:space="preserve">Comparing Linear Viscoelastic Properties of Asphalt Concrete Measured by Laboratory Seismic and Tension–Compression Tests</t>
  </si>
  <si>
    <t xml:space="preserve">coherence, FFT, averaging</t>
  </si>
  <si>
    <t xml:space="preserve">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t>
  </si>
  <si>
    <t xml:space="preserve">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t>
  </si>
  <si>
    <t xml:space="preserve">App=1, Meth=2, DA=3 (SigProc=2, PropC=3, IdM=3). Single highest technical score.</t>
  </si>
  <si>
    <t xml:space="preserve">P157</t>
  </si>
  <si>
    <t xml:space="preserve">Gudmarsson, Anders and Ryden, Nils and Di Benedetto, Hervé and Sauzéat, Cédric</t>
  </si>
  <si>
    <t xml:space="preserve">Complex modulus and complex Poisson’s ratio from cyclic and dynamic modal testing of asphalt concrete</t>
  </si>
  <si>
    <t xml:space="preserve">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t>
  </si>
  <si>
    <t xml:space="preserve">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t>
  </si>
  <si>
    <t xml:space="preserve">P163</t>
  </si>
  <si>
    <t xml:space="preserve">Characterizing the low strain complex modulus of asphalt concrete specimens through optimization of frequency response functions</t>
  </si>
  <si>
    <t xml:space="preserve">Frequency Response Function (FRF) optimization / Finite Element (FEM) inverse analysis</t>
  </si>
  <si>
    <t xml:space="preserve">conventional-test comparison (Frequency Response Function (FRF) optimization / Finite Element (FEM) inverse analysis)</t>
  </si>
  <si>
    <t xml:space="preserve">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t>
  </si>
  <si>
    <t xml:space="preserve">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t>
  </si>
  <si>
    <t xml:space="preserve">P37</t>
  </si>
  <si>
    <t xml:space="preserve">Lacroix, A. and Kim, Y.R. and Sadat, M. and Far, S.</t>
  </si>
  <si>
    <t xml:space="preserve">Constructing the dynamic modulus mastercurve using impact resonance testing</t>
  </si>
  <si>
    <t xml:space="preserve">Dynamic Shear Rheometer (DSR)</t>
  </si>
  <si>
    <t xml:space="preserve">conventional-test comparison (Dynamic Shear Rheometer (DSR)); multiple material types (5)</t>
  </si>
  <si>
    <t xml:space="preserve">excitation source (IR); sensors (IR); boundary conditions (IR); vibration modes (IR); standard/reference (IR); repetitions (IR); methodological comment (IR)</t>
  </si>
  <si>
    <t xml:space="preserve">|E*| / dynamic modulus, phase angle, storage/loss modulus</t>
  </si>
  <si>
    <t xml:space="preserve">Phase angle of the complex modulus, Storage modulus, Dynamic modulus |E*| and phase angle</t>
  </si>
  <si>
    <t xml:space="preserve">Analytical method based on closed-form solutions of wave equations, Half-power bandwidth method</t>
  </si>
  <si>
    <t xml:space="preserve">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t>
  </si>
  <si>
    <t xml:space="preserve">Compared with previous IRT studies, this work extends the applicable testing temperature range from 5°C to 60°C and demonstrates that high-frequency IRT measurements can be integrated into dynamic modulus mastercurves through binder shift factors.</t>
  </si>
  <si>
    <t xml:space="preserve">App=2, Meth=3, DA=2 (SigProc=1, PropC=3, IdM=2). Single highest technical score.</t>
  </si>
  <si>
    <t xml:space="preserve">P12</t>
  </si>
  <si>
    <t xml:space="preserve">Gürer, Cahit and Akbulut, Hüseyin and Elmaci, Ayfer and Korkmaz, Burak Enis and Düzağaç, Serhat</t>
  </si>
  <si>
    <t xml:space="preserve">An investigation of the electrical conductivity of different stone mastic asphalt mixtures</t>
  </si>
  <si>
    <t xml:space="preserve">electrical resistivity measurements, temperature rise under constant voltage</t>
  </si>
  <si>
    <t xml:space="preserve">conventional-test comparison (electrical resistivity measurements, temperature rise under constant voltage)</t>
  </si>
  <si>
    <t xml:space="preserve">Demonstrated that Ultrasonic Pulse Velocity (UPV) can serve as a non-destructive indicator of the electrical conductivity of carbon fibre-modified Stone Mastic Asphalt (SMA). The study also related electrical resistivity to the Joule heating performance of conductive SMA mixtures.</t>
  </si>
  <si>
    <t xml:space="preserve">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t>
  </si>
  <si>
    <t xml:space="preserve">P62</t>
  </si>
  <si>
    <t xml:space="preserve">Gong, Y.-S. and Kim, D. and Mun, S.</t>
  </si>
  <si>
    <t xml:space="preserve">Estimation of the Dynamic Moduli of Viscoelastic Asphalt Mixtures Using the Extended Kalman Filter Algorithm</t>
  </si>
  <si>
    <t xml:space="preserve">conventional-test comparison (Complex modulus (E*)); density/air-void evaluation; temperature effects (multiple temperatures)</t>
  </si>
  <si>
    <t xml:space="preserve">Comparison of IRT modulus and E* and an algorithm to improve mastercurve prediction.</t>
  </si>
  <si>
    <t xml:space="preserve">Attention to reference temperature and time-shift coefficients.</t>
  </si>
  <si>
    <t xml:space="preserve">App=2, Meth=2, DA=2 (SigProc=2, PropC=2, IdM=1). Scores tied at 2; ABK/ABL emphasis resolved to Data Analysis Type.</t>
  </si>
  <si>
    <t xml:space="preserve">P177</t>
  </si>
  <si>
    <t xml:space="preserve">Effectiveness of rejuvenators on aged asphalt concrete using ultrasonic non-collinear subsurface wave mixing</t>
  </si>
  <si>
    <t xml:space="preserve">multiple material types (2); additives/modifiers; aging</t>
  </si>
  <si>
    <t xml:space="preserve">Snell's law, Nonlinear wave mixing equations and Empirical attenuation equation</t>
  </si>
  <si>
    <t xml:space="preserve">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t>
  </si>
  <si>
    <t xml:space="preserve">P26</t>
  </si>
  <si>
    <t xml:space="preserve">Characterisation of oxidative ageing in asphalt concrete - Part 2: Estimation of complex moduli</t>
  </si>
  <si>
    <t xml:space="preserve">standard/reference (UT); wave type (UT)</t>
  </si>
  <si>
    <t xml:space="preserve">Estimation of asphalt complex modulus using ultrasonic measurements and comparison with mechanical testing</t>
  </si>
  <si>
    <t xml:space="preserve">Unlike studies using low-frequency (~54 kHz) P-waves, this study uses both P- and S-wave data at higher frequencies to estimate complex modulus</t>
  </si>
  <si>
    <t xml:space="preserve">App=1, Meth=1, DA=2 (SigProc=0, PropC=3, IdM=1). Single highest technical score.</t>
  </si>
  <si>
    <t xml:space="preserve">P173</t>
  </si>
  <si>
    <t xml:space="preserve">Carret, J.-C. and Bilodeau, K. and Herozi, M.R. and Babadopulos, L.</t>
  </si>
  <si>
    <t xml:space="preserve">Effects of air void content and back‑calculation techniques on bituminous mixture modulus via impact resonance</t>
  </si>
  <si>
    <t xml:space="preserve">additives/modifiers; density/air-void evaluation</t>
  </si>
  <si>
    <t xml:space="preserve">Comparison of analytical and FEM back-calculation methods for IRT, including the effect of air void content on complex modulus.</t>
  </si>
  <si>
    <t xml:space="preserve">Unlike most IRT studies, it directly compares two back-calculation approaches and quantifies air-void sensitivity using the same specimens.</t>
  </si>
  <si>
    <t xml:space="preserve">P150</t>
  </si>
  <si>
    <t xml:space="preserve">Pellinen, T.K. and Witczak, M.W.</t>
  </si>
  <si>
    <t xml:space="preserve">2002</t>
  </si>
  <si>
    <t xml:space="preserve">Use of stiffness of hot-mix asphalt as a simple performance test</t>
  </si>
  <si>
    <t xml:space="preserve">Complex modulus (E*), SST shear complex modulus (G*)</t>
  </si>
  <si>
    <t xml:space="preserve">conventional-test comparison (Complex modulus (E*), SST shear complex modulus (G*)); multiple material types (4); additives/modifiers; field/pavement assessment; temperature effects (multiple temperatures)</t>
  </si>
  <si>
    <t xml:space="preserve">P-waves/S-waves velocities, Dynamic elastic modulus (Ed)</t>
  </si>
  <si>
    <t xml:space="preserve">Analytical method based on closed-form solutions of wave equations | Direct pulse travel-time measurement</t>
  </si>
  <si>
    <t xml:space="preserve">Evaluated stiffness-based parameters, including ultrasonic Ed, as simple performance indicators for HMA using field rutting and cracking data</t>
  </si>
  <si>
    <t xml:space="preserve">Unlike most UT studies, ultrasonic Ed was evaluated against field performance and showed poorer correlations than conventional E*</t>
  </si>
  <si>
    <t xml:space="preserve">P38</t>
  </si>
  <si>
    <t xml:space="preserve">Houel, A. and Arnaud, L.</t>
  </si>
  <si>
    <t xml:space="preserve">Damage characterization of asphalt concrete specimens by ultrasonic P and S-wave propagation in laboratory</t>
  </si>
  <si>
    <t xml:space="preserve">Fatigue test, Five-point bending fatigue test (FPBT)</t>
  </si>
  <si>
    <t xml:space="preserve">conventional-test comparison (Fatigue test, Five-point bending fatigue test (FPBT)); cracking/damage</t>
  </si>
  <si>
    <t xml:space="preserve">|E*| / dynamic modulus, Poisson’s ratio, shear modulus, wave velocity</t>
  </si>
  <si>
    <t xml:space="preserve">Norm of the complex modulus, Poisson’s ratio, P-waves/S-waves velocities, Shear modulus</t>
  </si>
  <si>
    <t xml:space="preserve">Analytical method based on closed-form solutions of wave equations | Direct arrival-time measurement (Δt)</t>
  </si>
  <si>
    <t xml:space="preserve">Demonstrates P- and S-wave UT for monitoring fatigue damage and estimating complex modulus during loading</t>
  </si>
  <si>
    <t xml:space="preserve">Unlike UT studies focused mainly on modulus estimation, this work tracks fatigue damage evolution and compares cylindrical specimens with FPBT specimens</t>
  </si>
  <si>
    <t xml:space="preserve">Reviewer Assessment is used ONLY as a tie-break criterion and does not affect the technical contribution scores.</t>
  </si>
  <si>
    <t xml:space="preserve">MWP Technique (from column AU only)</t>
  </si>
  <si>
    <t xml:space="preserve">Category</t>
  </si>
  <si>
    <t xml:space="preserve">Paper Count</t>
  </si>
  <si>
    <t xml:space="preserve">Percentage</t>
  </si>
  <si>
    <t xml:space="preserve">Paper IDs</t>
  </si>
  <si>
    <t xml:space="preserve">P30, P132, P68, P142, P121, P119, P39, P140, P31, P127, P79, P70, P86, P118, P102, P134, P94, P22, P106, P10, P18, P84, P52, P36, P92, P28, P149, P93, P95, P131, P115, P20, P08, P99, P144, P48, P125, P152, P141, P72, P56, P24, P40, P145, P81, P51, P97, P35, P143, P151, P80, P77, P129, P17, P19, P135, P64, P103, P32, P27, P16, P04, P71, P130, P114, P98, P82, P66, P34, P02, P123, P107, P75, P59, P43, P11, P46, P55, P116, P105, P69, P09, P41, P73, P25, P108, P124, P60, P14, P138, P90, P58, P74, P42, P100, P61, P76, P112, P12, P177, P26, P150, P38</t>
  </si>
  <si>
    <t xml:space="preserve">P168, P162, P175, P174, P171, P159, P165, P13, P44, P120, P136, P96, P88, P67, P158, P49, P176, P65, P91, P03, P128, P23, P50, P33, P01, P139, P153, P89, P164, P63, P47, P137, P85, P54, P122, P166, P154, P160, P172, P169, P157, P163, P37, P62, P173</t>
  </si>
  <si>
    <t xml:space="preserve">P29, P101, P53, P21</t>
  </si>
  <si>
    <t xml:space="preserve">P45, P111, P83</t>
  </si>
  <si>
    <t xml:space="preserve">Total</t>
  </si>
  <si>
    <t xml:space="preserve">TC MWP Relevance (column ABJ — descriptive only)</t>
  </si>
  <si>
    <t xml:space="preserve">P168, P162, P30, P175, P171, P119, P31, P159, P134, P165, P22, P106, P18, P84, P52, P92, P45, P29, P44, P111, P08, P136, P99, P96, P83, P88, P141, P67, P81, P176, P32, P91, P27, P128, P98, P50, P02, P33, P153, P123, P89, P59, P164, P116, P63, P101, P47, P137, P85, P69, P73, P25, P108, P122, P160, P172, P169, P157, P163, P37, P173</t>
  </si>
  <si>
    <t xml:space="preserve">P132, P174, P140, P70, P13, P10, P36, P149, P93, P95, P115, P20, P120, P144, P35, P158, P17, P49, P19, P103, P03, P71, P114, P66, P23, P34, P01, P139, P107, P46, P105, P53, P09, P60, P14, P54, P42, P166, P154, P100, P61, P12, P62, P177, P26, P150</t>
  </si>
  <si>
    <t xml:space="preserve">P68, P142, P121, P39, P127, P79, P86, P118, P102, P94, P28, P131, P48, P152, P72, P56, P24, P40, P145, P97, P143, P151, P80, P77, P129, P135, P64, P65, P16, P04, P130, P82, P75, P43, P11, P55, P41, P21, P124, P138, P90, P58, P74, P76, P112, P38</t>
  </si>
  <si>
    <t xml:space="preserve">P125, P51</t>
  </si>
  <si>
    <t xml:space="preserve">Primary Contribution (exactly one per paper, n = 155)</t>
  </si>
  <si>
    <t xml:space="preserve">P30, P68, P121, P39, P127, P86, P118, P102, P134, P94, P10, P84, P28, P29, P95, P115, P120, P99, P144, P96, P83, P88, P72, P40, P51, P80, P129, P17, P19, P135, P64, P103, P32, P91, P128, P04, P71, P130, P114, P98, P66, P34, P01, P123, P75, P89, P46, P116, P105, P63, P101, P53, P09, P41, P73, P21, P124, P60, P14, P138, P90, P58, P74, P42, P122, P100, P76, P177, P150, P38</t>
  </si>
  <si>
    <t xml:space="preserve">P168, P174, P142, P119, P140, P31, P70, P13, P22, P106, P18, P52, P36, P92, P45, P149, P93, P44, P111, P20, P08, P136, P48, P125, P152, P141, P67, P56, P24, P145, P81, P97, P35, P143, P151, P77, P49, P65, P27, P03, P16, P82, P23, P02, P33, P139, P153, P107, P59, P43, P11, P55, P47, P137, P85, P69, P25, P108, P54, P154, P61, P172, P112, P37, P12</t>
  </si>
  <si>
    <t xml:space="preserve">P162, P132, P175, P171, P159, P79, P165, P131, P158, P176, P50, P164, P166, P160, P169, P157, P163, P62, P26, P173</t>
  </si>
  <si>
    <t xml:space="preserve">Secondary Contribution (reported only when 2nd-highest score &gt;= 2; not part of the main distribution)</t>
  </si>
  <si>
    <t xml:space="preserve">P162, P132, P175, P171, P121, P159, P127, P134, P165, P10, P84, P28, P95, P131, P115, P120, P99, P144, P83, P88, P72, P40, P51, P158, P129, P17, P176, P19, P103, P32, P91, P128, P04, P71, P130, P114, P98, P66, P50, P34, P01, P123, P75, P89, P164, P46, P116, P105, P63, P09, P60, P14, P138, P42, P122, P166, P100, P160, P169, P157, P163, P62, P177, P173, P150, P38</t>
  </si>
  <si>
    <t xml:space="preserve">P30, P68, P174, P142, P39, P31, P79, P70, P86, P118, P102, P94, P36, P92, P29, P111, P20, P96, P125, P97, P35, P143, P151, P80, P135, P64, P27, P03, P02, P107, P59, P55, P101, P137, P69, P53, P41, P73, P21, P90, P58, P74, P61, P172, P76, P112, P12, P26</t>
  </si>
  <si>
    <t xml:space="preserve">P168, P119, P13, P18, P52, P45, P93, P44, P08, P136, P152, P141, P67, P56, P81, P49, P65, P16, P139, P153, P43, P47, P85, P124, P54, P154, P37</t>
  </si>
  <si>
    <t xml:space="preserve">P140, P22, P106, P149, P48, P24, P145, P77, P82, P23, P33, P11, P25, P108</t>
  </si>
  <si>
    <t xml:space="preserve">Material Type (columns H:AT only; non-exclusive)</t>
  </si>
  <si>
    <t xml:space="preserve">P168, P162, P30, P68, P175, P174, P171, P142, P121, P119, P39, P140, P31, P159, P127, P79, P70, P102, P134, P94, P165, P13, P22, P106, P10, P18, P52, P36, P92, P45, P28, P29, P149, P93, P44, P95, P115, P20, P08, P120, P136, P99, P144, P96, P125, P83, P152, P88, P141, P67, P40, P145, P81, P97, P35, P143, P151, P80, P158, P129, P49, P176, P19, P135, P64, P32, P91, P27, P03, P128, P16, P04, P98, P66, P23, P50, P02, P33, P01, P139, P153, P123, P107, P89, P59, P43, P11, P164, P46, P55, P116, P105, P63, P47, P137, P69, P53, P09, P41, P25, P21, P108, P124, P60, P14, P54, P138, P90, P74, P42, P122, P166, P154, P100, P160, P61, P172, P76, P169, P157, P163, P37, P12, P62, P177, P26, P173, P150</t>
  </si>
  <si>
    <t xml:space="preserve">P10, P84, P48, P56, P24, P51, P71, P130, P82, P34, P75, P85</t>
  </si>
  <si>
    <t xml:space="preserve">P132, P111, P65, P101, P73, P38</t>
  </si>
  <si>
    <t xml:space="preserve">P86, P118, P102, P77, P103, P58</t>
  </si>
  <si>
    <t xml:space="preserve">P28, P120, P164, P54, P112</t>
  </si>
  <si>
    <t xml:space="preserve">P72, P17, P114</t>
  </si>
  <si>
    <t xml:space="preserve">P131, P20</t>
  </si>
  <si>
    <t xml:space="preserve">A paper may report several material types; percentages need not sum to 100%.</t>
  </si>
  <si>
    <t xml:space="preserve">Specimen Geometry (all "Geometry" columns; non-exclusive)</t>
  </si>
  <si>
    <t xml:space="preserve">P168, P162, P132, P171, P121, P159, P127, P79, P118, P134, P22, P106, P10, P84, P52, P92, P45, P28, P29, P44, P95, P115, P08, P120, P136, P99, P144, P96, P125, P83, P152, P88, P67, P56, P24, P40, P81, P51, P151, P80, P17, P49, P176, P19, P64, P32, P03, P128, P16, P04, P130, P114, P98, P66, P23, P50, P34, P33, P01, P139, P153, P123, P89, P43, P164, P116, P63, P101, P47, P137, P85, P53, P09, P73, P21, P108, P124, P60, P14, P54, P138, P90, P58, P42, P122, P100, P172, P76, P112, P169, P157, P37, P12, P62, P150, P38</t>
  </si>
  <si>
    <t xml:space="preserve">P175, P119, P39, P140, P31, P118, P165, P13, P18, P36, P149, P48, P141, P51, P35, P158, P91, P82, P02, P107, P105, P85, P69, P73, P25, P166, P61, P163, P177, P38</t>
  </si>
  <si>
    <t xml:space="preserve">P168, P162, P174, P142, P121, P39, P149, P93, P120, P99, P96, P145, P97, P35, P129, P17, P65, P27, P139, P11, P63, P47, P154, P160, P172, P173</t>
  </si>
  <si>
    <t xml:space="preserve">P30, P68, P70, P86, P94, P111, P131, P20, P35, P135, P75, P55, P74, P26</t>
  </si>
  <si>
    <t xml:space="preserve">P102, P10, P99, P88, P114, P02, P122</t>
  </si>
  <si>
    <t xml:space="preserve">P18, P143, P71, P66, P59, P46</t>
  </si>
  <si>
    <t xml:space="preserve">P72, P51, P77, P103</t>
  </si>
  <si>
    <t xml:space="preserve">P41, P25</t>
  </si>
  <si>
    <t xml:space="preserve">Trapezoidal</t>
  </si>
  <si>
    <t xml:space="preserve">A paper may report several geometries; percentages need not sum to 100%.</t>
  </si>
  <si>
    <t xml:space="preserve">Signal Processing Type (normalized; non-exclusive)</t>
  </si>
  <si>
    <t xml:space="preserve">P168, P30, P132, P175, P174, P171, P142, P121, P119, P31, P159, P79, P134, P165, P13, P106, P18, P36, P45, P44, P95, P131, P120, P136, P83, P88, P141, P67, P158, P49, P176, P91, P27, P128, P23, P50, P02, P33, P01, P139, P153, P107, P89, P164, P63, P47, P137, P85, P25, P54, P122, P166, P160, P61, P172, P169, P157, P163, P37, P62, P177, P173, P38</t>
  </si>
  <si>
    <t xml:space="preserve">coherence</t>
  </si>
  <si>
    <t xml:space="preserve">P159, P106, P158, P50, P164, P169, P157, P163, P62, P173</t>
  </si>
  <si>
    <t xml:space="preserve">P121, P31, P79, P106, P10, P67, P107, P25</t>
  </si>
  <si>
    <t xml:space="preserve">averaging</t>
  </si>
  <si>
    <t xml:space="preserve">P175, P95, P02, P169, P173</t>
  </si>
  <si>
    <t xml:space="preserve">FRF</t>
  </si>
  <si>
    <t xml:space="preserve">P165, P158, P49, P50, P157</t>
  </si>
  <si>
    <t xml:space="preserve">P93, P141, P67</t>
  </si>
  <si>
    <t xml:space="preserve">filtering</t>
  </si>
  <si>
    <t xml:space="preserve">P31, P67</t>
  </si>
  <si>
    <t xml:space="preserve">wavelet</t>
  </si>
  <si>
    <t xml:space="preserve">P79, P36</t>
  </si>
  <si>
    <t xml:space="preserve">P18, P40</t>
  </si>
  <si>
    <t xml:space="preserve">spectral ratio</t>
  </si>
  <si>
    <t xml:space="preserve">time-frequency</t>
  </si>
  <si>
    <t xml:space="preserve">Hilbert transform</t>
  </si>
  <si>
    <t xml:space="preserve">modal analysis</t>
  </si>
  <si>
    <t xml:space="preserve">weighting functions</t>
  </si>
  <si>
    <t xml:space="preserve">f-k / dispersion analysis</t>
  </si>
  <si>
    <t xml:space="preserve">Property / Output Type from UT/IRT (normalized; non-exclusive)</t>
  </si>
  <si>
    <t xml:space="preserve">P30, P119, P39, P31, P127, P79, P118, P106, P52, P36, P92, P45, P28, P149, P93, P95, P115, P99, P144, P48, P141, P72, P56, P24, P40, P145, P81, P51, P97, P35, P151, P80, P77, P129, P17, P19, P64, P103, P32, P27, P71, P130, P114, P98, P82, P66, P34, P02, P75, P59, P43, P46, P116, P105, P09, P41, P25, P108, P14, P42, P100, P76, P112, P12, P150, P38</t>
  </si>
  <si>
    <t xml:space="preserve">P162, P132, P68, P175, P171, P159, P134, P165, P13, P18, P84, P52, P45, P93, P44, P95, P08, P120, P136, P125, P83, P152, P88, P141, P56, P81, P158, P17, P49, P176, P91, P128, P16, P71, P98, P50, P01, P139, P123, P75, P89, P43, P164, P47, P85, P124, P60, P166, P160, P169, P157, P163, P37, P62, P26, P173, P38</t>
  </si>
  <si>
    <t xml:space="preserve">phase angle</t>
  </si>
  <si>
    <t xml:space="preserve">P175, P171, P159, P18, P45, P44, P95, P120, P136, P83, P141, P158, P49, P50, P123, P89, P164, P47, P169, P157, P163, P37, P26, P173</t>
  </si>
  <si>
    <t xml:space="preserve">Poisson’s ratio</t>
  </si>
  <si>
    <t xml:space="preserve">P175, P18, P45, P88, P158, P176, P66, P164, P47, P14, P160, P169, P157, P163, P26, P38</t>
  </si>
  <si>
    <t xml:space="preserve">P79, P10, P44, P131, P83, P152, P67, P64, P32, P66, P34, P54, P122, P150</t>
  </si>
  <si>
    <t xml:space="preserve">P174, P44, P83, P67, P03, P153, P122</t>
  </si>
  <si>
    <t xml:space="preserve">P13, P44, P83, P65, P33, P01, P153</t>
  </si>
  <si>
    <t xml:space="preserve">shear modulus</t>
  </si>
  <si>
    <t xml:space="preserve">P158, P66, P26, P38</t>
  </si>
  <si>
    <t xml:space="preserve">P119, P122, P154</t>
  </si>
  <si>
    <t xml:space="preserve">P31, P20, P105</t>
  </si>
  <si>
    <t xml:space="preserve">storage/loss modulus</t>
  </si>
  <si>
    <t xml:space="preserve">P44, P83, P37</t>
  </si>
  <si>
    <t xml:space="preserve">P140, P118</t>
  </si>
  <si>
    <t xml:space="preserve">complex shear modulus</t>
  </si>
  <si>
    <t xml:space="preserve">P158, P26</t>
  </si>
  <si>
    <t xml:space="preserve">P04, P09</t>
  </si>
  <si>
    <t xml:space="preserve">Property Identification Method (normalized; non-exclusive)</t>
  </si>
  <si>
    <t xml:space="preserve">P30, P132, P175, P174, P121, P119, P79, P134, P13, P106, P10, P18, P84, P52, P92, P45, P28, P44, P95, P115, P08, P120, P136, P99, P144, P48, P83, P88, P141, P67, P56, P81, P51, P35, P151, P80, P17, P19, P64, P103, P32, P91, P27, P03, P128, P16, P71, P130, P98, P82, P66, P23, P50, P34, P02, P01, P139, P153, P123, P107, P75, P89, P59, P43, P11, P46, P116, P63, P47, P137, P85, P09, P108, P124, P60, P54, P138, P90, P42, P122, P166, P154, P112, P37, P12, P62, P177, P26, P173, P150, P38</t>
  </si>
  <si>
    <t xml:space="preserve">P162, P175, P171, P159, P165, P131, P20, P158, P49, P176, P164, P166, P160, P172, P169, P157, P163, P173</t>
  </si>
  <si>
    <t xml:space="preserve">P175, P83, P33, P154, P37</t>
  </si>
  <si>
    <t xml:space="preserve">Application Contribution Score</t>
  </si>
  <si>
    <t xml:space="preserve">Score</t>
  </si>
  <si>
    <t xml:space="preserve">Methodology Contribution Score</t>
  </si>
  <si>
    <t xml:space="preserve">Data Analysis Contribution Score</t>
  </si>
  <si>
    <t xml:space="preserve">Signal Processing Score (sub)</t>
  </si>
  <si>
    <t xml:space="preserve">Property Complexity Score (sub)</t>
  </si>
  <si>
    <t xml:space="preserve">Identification Method Score (sub)</t>
  </si>
  <si>
    <t xml:space="preserve">Rheological Modelling Score</t>
  </si>
  <si>
    <t xml:space="preserve">Reviewer Support Score (tie-break only)</t>
  </si>
  <si>
    <t xml:space="preserve">Tests reported in AU</t>
  </si>
  <si>
    <t xml:space="preserve">Complex modulus (E*), Resonant Column Testing </t>
  </si>
  <si>
    <t xml:space="preserve">These papers are NOT reclassified as UT or IR and are excluded from the UT/IRT/Both denominator (see Figure 1).</t>
  </si>
  <si>
    <t xml:space="preserve">Excel column letter</t>
  </si>
  <si>
    <t xml:space="preserve">Exact form-column title</t>
  </si>
  <si>
    <t xml:space="preserve">BL</t>
  </si>
  <si>
    <t xml:space="preserve">Standard deviation or variability of the dimensions (if reported only) — Test 1 — Specimen 2</t>
  </si>
  <si>
    <t xml:space="preserve">BM</t>
  </si>
  <si>
    <t xml:space="preserve">C3.4 Bulk density (kg/m³) — Test 1 — Specimen 2</t>
  </si>
  <si>
    <t xml:space="preserve">BN</t>
  </si>
  <si>
    <t xml:space="preserve">Standard deviation or variability of the bulk density (if reported only) — Test 1 — Specimen 2</t>
  </si>
  <si>
    <t xml:space="preserve">BP</t>
  </si>
  <si>
    <t xml:space="preserve">Standard deviation or variability of the air voids (if reported only) — Test 1 — Specimen 2</t>
  </si>
  <si>
    <t xml:space="preserve">BV</t>
  </si>
  <si>
    <t xml:space="preserve">Standard deviation or variability of the dimensions (if reported only) — Test 1 — Specimen 3</t>
  </si>
  <si>
    <t xml:space="preserve">BW</t>
  </si>
  <si>
    <t xml:space="preserve">C3.4 Bulk density (kg/m³) — Test 1 — Specimen 3</t>
  </si>
  <si>
    <t xml:space="preserve">BX</t>
  </si>
  <si>
    <t xml:space="preserve">Standard deviation or variability of the bulk density (if reported only) — Test 1 — Specimen 3</t>
  </si>
  <si>
    <t xml:space="preserve">BZ</t>
  </si>
  <si>
    <t xml:space="preserve">Standard deviation or variability of the air voids (if reported only) — Test 1 — Specimen 3</t>
  </si>
  <si>
    <t xml:space="preserve">CB</t>
  </si>
  <si>
    <t xml:space="preserve">C3.1 What are the materials associated to this type of specimens? — Test 1 — Specimen 4</t>
  </si>
  <si>
    <t xml:space="preserve">CC</t>
  </si>
  <si>
    <t xml:space="preserve">C3.2 Geometry — Test 1 — Specimen 4</t>
  </si>
  <si>
    <t xml:space="preserve">CD</t>
  </si>
  <si>
    <t xml:space="preserve">C3.2 Number of specimens — Test 1 — Specimen 4</t>
  </si>
  <si>
    <t xml:space="preserve">CE</t>
  </si>
  <si>
    <t xml:space="preserve">C3.3 Dimensions (D × L or equivalent) — Test 1 — Specimen 4</t>
  </si>
  <si>
    <t xml:space="preserve">CF</t>
  </si>
  <si>
    <t xml:space="preserve">Standard deviation or variability of the dimensions (if reported only) — Test 1 — Specimen 4</t>
  </si>
  <si>
    <t xml:space="preserve">CG</t>
  </si>
  <si>
    <t xml:space="preserve">C3.4 Bulk density (kg/m³) — Test 1 — Specimen 4</t>
  </si>
  <si>
    <t xml:space="preserve">CH</t>
  </si>
  <si>
    <t xml:space="preserve">Standard deviation or variability of the bulk density (if reported only) — Test 1 — Specimen 4</t>
  </si>
  <si>
    <t xml:space="preserve">CI</t>
  </si>
  <si>
    <t xml:space="preserve">C3.5 Air voids (%) — Test 1 — Specimen 4</t>
  </si>
  <si>
    <t xml:space="preserve">CJ</t>
  </si>
  <si>
    <t xml:space="preserve">Standard deviation or variability of the air voids (if reported only) — Test 1 — Specimen 4</t>
  </si>
  <si>
    <t xml:space="preserve">DG</t>
  </si>
  <si>
    <t xml:space="preserve">Standard deviation or variability of the dimensions (if reported only) — Test 1 — Specimen 2 2</t>
  </si>
  <si>
    <t xml:space="preserve">DI</t>
  </si>
  <si>
    <t xml:space="preserve">Standard deviation or variability of the bulk density (if reported only) — Test 1 — Specimen 2 2</t>
  </si>
  <si>
    <t xml:space="preserve">DK</t>
  </si>
  <si>
    <t xml:space="preserve">Standard deviation or variability of the air voids (if reported only) — Test 1 — Specimen 2 2</t>
  </si>
  <si>
    <t xml:space="preserve">DQ</t>
  </si>
  <si>
    <t xml:space="preserve">Standard deviation or variability of the dimensions (if reported only) — Test 1 — Specimen 3 2</t>
  </si>
  <si>
    <t xml:space="preserve">DS</t>
  </si>
  <si>
    <t xml:space="preserve">Standard deviation or variability of the bulk density (if reported only) — Test 1 — Specimen 3 2</t>
  </si>
  <si>
    <t xml:space="preserve">EA</t>
  </si>
  <si>
    <t xml:space="preserve">Standard deviation or variability of the dimensions (if reported only) — Test 1 — Specimen 4 2</t>
  </si>
  <si>
    <t xml:space="preserve">EB</t>
  </si>
  <si>
    <t xml:space="preserve">C3.4 Bulk density (kg/m³) — Test 1 — Specimen 4 2</t>
  </si>
  <si>
    <t xml:space="preserve">EC</t>
  </si>
  <si>
    <t xml:space="preserve">Standard deviation or variability of the bulk density (if reported only) — Test 1 — Specimen 4 2</t>
  </si>
  <si>
    <t xml:space="preserve">EE</t>
  </si>
  <si>
    <t xml:space="preserve">Standard deviation or variability of the air voids (if reported only) — Test 1 — Specimen 4 2</t>
  </si>
  <si>
    <t xml:space="preserve">IJ</t>
  </si>
  <si>
    <t xml:space="preserve">Standard deviation or variability of the dimensions (if reported only) — Test 2 — Specimen 3</t>
  </si>
  <si>
    <t xml:space="preserve">IL</t>
  </si>
  <si>
    <t xml:space="preserve">Standard deviation or variability of the bulk density (if reported only) — Test 2 — Specimen 3</t>
  </si>
  <si>
    <t xml:space="preserve">IN</t>
  </si>
  <si>
    <t xml:space="preserve">Standard deviation or variability of the air voids (if reported only) — Test 2 — Specimen 3</t>
  </si>
  <si>
    <t xml:space="preserve">IP</t>
  </si>
  <si>
    <t xml:space="preserve">C3.1 What are the materials associated to this type of specimens? — Test 2 — Specimen 4</t>
  </si>
  <si>
    <t xml:space="preserve">IQ</t>
  </si>
  <si>
    <t xml:space="preserve">C3.2 Geometry — Test 2 — Specimen 4</t>
  </si>
  <si>
    <t xml:space="preserve">C3.2 Number of specimens — Test 2 — Specimen 4</t>
  </si>
  <si>
    <t xml:space="preserve">IS</t>
  </si>
  <si>
    <t xml:space="preserve">C3.3 Dimensions (D × L or equivalent) — Test 2 — Specimen 4</t>
  </si>
  <si>
    <t xml:space="preserve">IT</t>
  </si>
  <si>
    <t xml:space="preserve">Standard deviation or variability of the dimensions (if reported only) — Test 2 — Specimen 4</t>
  </si>
  <si>
    <t xml:space="preserve">IU</t>
  </si>
  <si>
    <t xml:space="preserve">C3.4 Bulk density (kg/m³) — Test 2 — Specimen 4</t>
  </si>
  <si>
    <t xml:space="preserve">IV</t>
  </si>
  <si>
    <t xml:space="preserve">Standard deviation or variability of the bulk density (if reported only) — Test 2 — Specimen 4</t>
  </si>
  <si>
    <t xml:space="preserve">IW</t>
  </si>
  <si>
    <t xml:space="preserve">C3.5 Air voids (%) — Test 2 — Specimen 4</t>
  </si>
  <si>
    <t xml:space="preserve">IX</t>
  </si>
  <si>
    <t xml:space="preserve">Standard deviation or variability of the air voids (if reported only) — Test 2 — Specimen 4</t>
  </si>
  <si>
    <t xml:space="preserve">JQ</t>
  </si>
  <si>
    <t xml:space="preserve">C3.1 What are the materials associated to this type of specimens? — Test 2 — Specimen 2 2</t>
  </si>
  <si>
    <t xml:space="preserve">JR</t>
  </si>
  <si>
    <t xml:space="preserve">C3.2 Geometry — Test 2 — Specimen 2 2</t>
  </si>
  <si>
    <t xml:space="preserve">JS</t>
  </si>
  <si>
    <t xml:space="preserve">C3.2 Number of specimens — Test 2 — Specimen 2 2</t>
  </si>
  <si>
    <t xml:space="preserve">JT</t>
  </si>
  <si>
    <t xml:space="preserve">C3.3 Dimensions (D × L or equivalent) — Test 2 — Specimen 2 2</t>
  </si>
  <si>
    <t xml:space="preserve">JU</t>
  </si>
  <si>
    <t xml:space="preserve">Standard deviation or variability of the dimensions (if reported only) — Test 2 — Specimen 2 2</t>
  </si>
  <si>
    <t xml:space="preserve">JV</t>
  </si>
  <si>
    <t xml:space="preserve">C3.4 Bulk density (kg/m³) — Test 2 — Specimen 2 2</t>
  </si>
  <si>
    <t xml:space="preserve">JW</t>
  </si>
  <si>
    <t xml:space="preserve">Standard deviation or variability of the bulk density (if reported only) — Test 2 — Specimen 2 2</t>
  </si>
  <si>
    <t xml:space="preserve">JX</t>
  </si>
  <si>
    <t xml:space="preserve">C3.5 Air voids (%) — Test 2 — Specimen 2 2</t>
  </si>
  <si>
    <t xml:space="preserve">JY</t>
  </si>
  <si>
    <t xml:space="preserve">Standard deviation or variability of the air voids (if reported only) — Test 2 — Specimen 2 2</t>
  </si>
  <si>
    <t xml:space="preserve">JZ</t>
  </si>
  <si>
    <t xml:space="preserve">Is there another type of specimens that was used for this test? — Test 2 — after Specimen 2 2</t>
  </si>
  <si>
    <t xml:space="preserve">KA</t>
  </si>
  <si>
    <t xml:space="preserve">C3.1 What are the materials associated to this type of specimens? — Test 2 — Specimen 3 2</t>
  </si>
  <si>
    <t xml:space="preserve">KB</t>
  </si>
  <si>
    <t xml:space="preserve">C3.2 Geometry — Test 2 — Specimen 3 2</t>
  </si>
  <si>
    <t xml:space="preserve">KC</t>
  </si>
  <si>
    <t xml:space="preserve">C3.2 Number of specimens — Test 2 — Specimen 3 2</t>
  </si>
  <si>
    <t xml:space="preserve">KD</t>
  </si>
  <si>
    <t xml:space="preserve">C3.3 Dimensions (D × L or equivalent) — Test 2 — Specimen 3 2</t>
  </si>
  <si>
    <t xml:space="preserve">KE</t>
  </si>
  <si>
    <t xml:space="preserve">Standard deviation or variability of the dimensions (if reported only) — Test 2 — Specimen 3 2</t>
  </si>
  <si>
    <t xml:space="preserve">KF</t>
  </si>
  <si>
    <t xml:space="preserve">C3.4 Bulk density (kg/m³) — Test 2 — Specimen 3 2</t>
  </si>
  <si>
    <t xml:space="preserve">KG</t>
  </si>
  <si>
    <t xml:space="preserve">Standard deviation or variability of the bulk density (if reported only) — Test 2 — Specimen 3 2</t>
  </si>
  <si>
    <t xml:space="preserve">KH</t>
  </si>
  <si>
    <t xml:space="preserve">C3.5 Air voids (%) — Test 2 — Specimen 3 2</t>
  </si>
  <si>
    <t xml:space="preserve">KI</t>
  </si>
  <si>
    <t xml:space="preserve">Standard deviation or variability of the air voids (if reported only) — Test 2 — Specimen 3 2</t>
  </si>
  <si>
    <t xml:space="preserve">KJ</t>
  </si>
  <si>
    <t xml:space="preserve">Is there another type of specimens that was used for this test? — Test 2 — after Specimen 3 2</t>
  </si>
  <si>
    <t xml:space="preserve">KK</t>
  </si>
  <si>
    <t xml:space="preserve">C3.1 What are the materials associated to this type of specimens? — Test 2 — Specimen 4 2</t>
  </si>
  <si>
    <t xml:space="preserve">KL</t>
  </si>
  <si>
    <t xml:space="preserve">C3.2 Geometry — Test 2 — Specimen 4 2</t>
  </si>
  <si>
    <t xml:space="preserve">KM</t>
  </si>
  <si>
    <t xml:space="preserve">C3.2 Number of specimens — Test 2 — Specimen 4 2</t>
  </si>
  <si>
    <t xml:space="preserve">KN</t>
  </si>
  <si>
    <t xml:space="preserve">C3.3 Dimensions (D × L or equivalent) — Test 2 — Specimen 4 2</t>
  </si>
  <si>
    <t xml:space="preserve">KO</t>
  </si>
  <si>
    <t xml:space="preserve">Standard deviation or variability of the dimensions (if reported only) — Test 2 — Specimen 4 2</t>
  </si>
  <si>
    <t xml:space="preserve">KP</t>
  </si>
  <si>
    <t xml:space="preserve">C3.4 Bulk density (kg/m³) — Test 2 — Specimen 4 2</t>
  </si>
  <si>
    <t xml:space="preserve">KQ</t>
  </si>
  <si>
    <t xml:space="preserve">Standard deviation or variability of the bulk density (if reported only) — Test 2 — Specimen 4 2</t>
  </si>
  <si>
    <t xml:space="preserve">KR</t>
  </si>
  <si>
    <t xml:space="preserve">C3.5 Air voids (%) — Test 2 — Specimen 4 2</t>
  </si>
  <si>
    <t xml:space="preserve">KS</t>
  </si>
  <si>
    <t xml:space="preserve">Standard deviation or variability of the air voids (if reported only) — Test 2 — Specimen 4 2</t>
  </si>
  <si>
    <t xml:space="preserve">KX</t>
  </si>
  <si>
    <t xml:space="preserve">Standard / reference method (if any) — Test 2</t>
  </si>
  <si>
    <t xml:space="preserve">LA</t>
  </si>
  <si>
    <t xml:space="preserve">Additional comment/note (if necessary) — Test 2 2</t>
  </si>
  <si>
    <t xml:space="preserve">LD</t>
  </si>
  <si>
    <t xml:space="preserve">What signal processing technique(s) were used for the transformation? — Test 2</t>
  </si>
  <si>
    <t xml:space="preserve">LE</t>
  </si>
  <si>
    <t xml:space="preserve">Additional comment/note (if necessary) — Test 2 3</t>
  </si>
  <si>
    <t xml:space="preserve">LJ</t>
  </si>
  <si>
    <t xml:space="preserve">What key assumptions were made? — Test 2</t>
  </si>
  <si>
    <t xml:space="preserve">LM</t>
  </si>
  <si>
    <t xml:space="preserve">Additional comment/note (if necessary) — Test 2 4</t>
  </si>
  <si>
    <t xml:space="preserve">LT</t>
  </si>
  <si>
    <t xml:space="preserve">Standard deviation or variability of the bulk density (if reported only) — Test 2 — Specimen 1 3</t>
  </si>
  <si>
    <t xml:space="preserve">MB</t>
  </si>
  <si>
    <t xml:space="preserve">Standard deviation or variability of the dimensions (if reported only) — Test 2 — Specimen 2 3</t>
  </si>
  <si>
    <t xml:space="preserve">MD</t>
  </si>
  <si>
    <t xml:space="preserve">Standard deviation or variability of the bulk density (if reported only) — Test 2 — Specimen 2 3</t>
  </si>
  <si>
    <t xml:space="preserve">MF</t>
  </si>
  <si>
    <t xml:space="preserve">Standard deviation or variability of the air voids (if reported only) — Test 2 — Specimen 2 3</t>
  </si>
  <si>
    <t xml:space="preserve">ML</t>
  </si>
  <si>
    <t xml:space="preserve">Standard deviation or variability of the dimensions (if reported only) — Test 2 — Specimen 3 3</t>
  </si>
  <si>
    <t xml:space="preserve">MM</t>
  </si>
  <si>
    <t xml:space="preserve">C3.4 Bulk density (kg/m³) — Test 2 — Specimen 3 3</t>
  </si>
  <si>
    <t xml:space="preserve">MN</t>
  </si>
  <si>
    <t xml:space="preserve">Standard deviation or variability of the bulk density (if reported only) — Test 2 — Specimen 3 3</t>
  </si>
  <si>
    <t xml:space="preserve">MP</t>
  </si>
  <si>
    <t xml:space="preserve">Standard deviation or variability of the air voids (if reported only) — Test 2 — Specimen 3 3</t>
  </si>
  <si>
    <t xml:space="preserve">MR</t>
  </si>
  <si>
    <t xml:space="preserve">C3.1 What are the materials associated to this type of specimens? — Test 2 — Specimen 4 3</t>
  </si>
  <si>
    <t xml:space="preserve">MS</t>
  </si>
  <si>
    <t xml:space="preserve">C3.2 Geometry — Test 2 — Specimen 4 3</t>
  </si>
  <si>
    <t xml:space="preserve">MT</t>
  </si>
  <si>
    <t xml:space="preserve">C3.2 Number of specimens — Test 2 — Specimen 4 3</t>
  </si>
  <si>
    <t xml:space="preserve">MU</t>
  </si>
  <si>
    <t xml:space="preserve">C3.3 Dimensions (D × L or equivalent) — Test 2 — Specimen 4 3</t>
  </si>
  <si>
    <t xml:space="preserve">MV</t>
  </si>
  <si>
    <t xml:space="preserve">Standard deviation or variability of the dimensions (if reported only) — Test 2 — Specimen 4 3</t>
  </si>
  <si>
    <t xml:space="preserve">MW</t>
  </si>
  <si>
    <t xml:space="preserve">C3.4 Bulk density (kg/m³) — Test 2 — Specimen 4 3</t>
  </si>
  <si>
    <t xml:space="preserve">MX</t>
  </si>
  <si>
    <t xml:space="preserve">Standard deviation or variability of the bulk density (if reported only) — Test 2 — Specimen 4 3</t>
  </si>
  <si>
    <t xml:space="preserve">MY</t>
  </si>
  <si>
    <t xml:space="preserve">C3.5 Air voids (%) — Test 2 — Specimen 4 3</t>
  </si>
  <si>
    <t xml:space="preserve">MZ</t>
  </si>
  <si>
    <t xml:space="preserve">Standard deviation or variability of the air voids (if reported only) — Test 2 — Specimen 4 3</t>
  </si>
  <si>
    <t xml:space="preserve">OW</t>
  </si>
  <si>
    <t xml:space="preserve">C3.3 Dimensions (D × L or equivalent) — Test 3 — Specimen 3</t>
  </si>
  <si>
    <t xml:space="preserve">OX</t>
  </si>
  <si>
    <t xml:space="preserve">Standard deviation or variability of the dimensions (if reported only) — Test 3 — Specimen 3</t>
  </si>
  <si>
    <t xml:space="preserve">OY</t>
  </si>
  <si>
    <t xml:space="preserve">C3.4 Bulk density (kg/m³) — Test 3 — Specimen 3</t>
  </si>
  <si>
    <t xml:space="preserve">OZ</t>
  </si>
  <si>
    <t xml:space="preserve">Standard deviation or variability of the bulk density (if reported only) — Test 3 — Specimen 3</t>
  </si>
  <si>
    <t xml:space="preserve">PA</t>
  </si>
  <si>
    <t xml:space="preserve">C3.5 Air voids (%) — Test 3 — Specimen 3</t>
  </si>
  <si>
    <t xml:space="preserve">PB</t>
  </si>
  <si>
    <t xml:space="preserve">Standard deviation or variability of the air voids (if reported only) — Test 3 — Specimen 3</t>
  </si>
  <si>
    <t xml:space="preserve">PD</t>
  </si>
  <si>
    <t xml:space="preserve">C3.1 What are the materials associated to this type of specimens? — Test 3 — Specimen 4</t>
  </si>
  <si>
    <t xml:space="preserve">PE</t>
  </si>
  <si>
    <t xml:space="preserve">C3.2 Geometry — Test 3 — Specimen 4</t>
  </si>
  <si>
    <t xml:space="preserve">PF</t>
  </si>
  <si>
    <t xml:space="preserve">C3.2 Number of specimens — Test 3 — Specimen 4</t>
  </si>
  <si>
    <t xml:space="preserve">PG</t>
  </si>
  <si>
    <t xml:space="preserve">C3.3 Dimensions (D × L or equivalent) — Test 3 — Specimen 4</t>
  </si>
  <si>
    <t xml:space="preserve">PH</t>
  </si>
  <si>
    <t xml:space="preserve">Standard deviation or variability of the dimensions (if reported only) — Test 3 — Specimen 4</t>
  </si>
  <si>
    <t xml:space="preserve">PI</t>
  </si>
  <si>
    <t xml:space="preserve">C3.4 Bulk density (kg/m³) — Test 3 — Specimen 4</t>
  </si>
  <si>
    <t xml:space="preserve">PJ</t>
  </si>
  <si>
    <t xml:space="preserve">Standard deviation or variability of the bulk density (if reported only) — Test 3 — Specimen 4</t>
  </si>
  <si>
    <t xml:space="preserve">PK</t>
  </si>
  <si>
    <t xml:space="preserve">C3.5 Air voids (%) — Test 3 — Specimen 4</t>
  </si>
  <si>
    <t xml:space="preserve">PL</t>
  </si>
  <si>
    <t xml:space="preserve">Standard deviation or variability of the air voids (if reported only) — Test 3 — Specimen 4</t>
  </si>
  <si>
    <t xml:space="preserve">PU</t>
  </si>
  <si>
    <t xml:space="preserve">C3.1 What are the materials associated to this type of specimens? — Test 3 — Specimen 1 2</t>
  </si>
  <si>
    <t xml:space="preserve">PV</t>
  </si>
  <si>
    <t xml:space="preserve">C3.2 Geometry — Test 3 — Specimen 1 2</t>
  </si>
  <si>
    <t xml:space="preserve">PW</t>
  </si>
  <si>
    <t xml:space="preserve">C3.2 Number of specimens — Test 3 — Specimen 1 2</t>
  </si>
  <si>
    <t xml:space="preserve">PX</t>
  </si>
  <si>
    <t xml:space="preserve">C3.3 Dimensions (D × L or equivalent) — Test 3 — Specimen 1 2</t>
  </si>
  <si>
    <t xml:space="preserve">PY</t>
  </si>
  <si>
    <t xml:space="preserve">Standard deviation or variability of the dimensions (if reported only) — Test 3 — Specimen 1 2</t>
  </si>
  <si>
    <t xml:space="preserve">PZ</t>
  </si>
  <si>
    <t xml:space="preserve">C3.4 Bulk density (kg/m³) — Test 3 — Specimen 1 2</t>
  </si>
  <si>
    <t xml:space="preserve">QA</t>
  </si>
  <si>
    <t xml:space="preserve">Standard deviation or variability of the bulk density (if reported only) — Test 3 — Specimen 1 2</t>
  </si>
  <si>
    <t xml:space="preserve">QB</t>
  </si>
  <si>
    <t xml:space="preserve">C3.5 Air voids (%) — Test 3 — Specimen 1 2</t>
  </si>
  <si>
    <t xml:space="preserve">QC</t>
  </si>
  <si>
    <t xml:space="preserve">Standard deviation or variability of the air voids (if reported only) — Test 3 — Specimen 1 2</t>
  </si>
  <si>
    <t xml:space="preserve">QD</t>
  </si>
  <si>
    <t xml:space="preserve">Is there another type of specimens that was used for this test? — Test 3 — after Specimen 1 2</t>
  </si>
  <si>
    <t xml:space="preserve">QE</t>
  </si>
  <si>
    <t xml:space="preserve">C3.1 What are the materials associated to this type of specimens? — Test 3 — Specimen 2 2</t>
  </si>
  <si>
    <t xml:space="preserve">QF</t>
  </si>
  <si>
    <t xml:space="preserve">C3.2 Geometry — Test 3 — Specimen 2 2</t>
  </si>
  <si>
    <t xml:space="preserve">QG</t>
  </si>
  <si>
    <t xml:space="preserve">C3.2 Number of specimens — Test 3 — Specimen 2 2</t>
  </si>
  <si>
    <t xml:space="preserve">QH</t>
  </si>
  <si>
    <t xml:space="preserve">C3.3 Dimensions (D × L or equivalent) — Test 3 — Specimen 2 2</t>
  </si>
  <si>
    <t xml:space="preserve">QI</t>
  </si>
  <si>
    <t xml:space="preserve">Standard deviation or variability of the dimensions (if reported only) — Test 3 — Specimen 2 2</t>
  </si>
  <si>
    <t xml:space="preserve">QJ</t>
  </si>
  <si>
    <t xml:space="preserve">C3.4 Bulk density (kg/m³) — Test 3 — Specimen 2 2</t>
  </si>
  <si>
    <t xml:space="preserve">QK</t>
  </si>
  <si>
    <t xml:space="preserve">Standard deviation or variability of the bulk density (if reported only) — Test 3 — Specimen 2 2</t>
  </si>
  <si>
    <t xml:space="preserve">QL</t>
  </si>
  <si>
    <t xml:space="preserve">C3.5 Air voids (%) — Test 3 — Specimen 2 2</t>
  </si>
  <si>
    <t xml:space="preserve">QM</t>
  </si>
  <si>
    <t xml:space="preserve">Standard deviation or variability of the air voids (if reported only) — Test 3 — Specimen 2 2</t>
  </si>
  <si>
    <t xml:space="preserve">QN</t>
  </si>
  <si>
    <t xml:space="preserve">Is there another type of specimens that was used for this test? — Test 3 — after Specimen 2 2</t>
  </si>
  <si>
    <t xml:space="preserve">QO</t>
  </si>
  <si>
    <t xml:space="preserve">C3.1 What are the materials associated to this type of specimens? — Test 3 — Specimen 3 2</t>
  </si>
  <si>
    <t xml:space="preserve">QP</t>
  </si>
  <si>
    <t xml:space="preserve">C3.2 Geometry — Test 3 — Specimen 3 2</t>
  </si>
  <si>
    <t xml:space="preserve">QQ</t>
  </si>
  <si>
    <t xml:space="preserve">C3.2 Number of specimens — Test 3 — Specimen 3 2</t>
  </si>
  <si>
    <t xml:space="preserve">QR</t>
  </si>
  <si>
    <t xml:space="preserve">C3.3 Dimensions (D × L or equivalent) — Test 3 — Specimen 3 2</t>
  </si>
  <si>
    <t xml:space="preserve">QS</t>
  </si>
  <si>
    <t xml:space="preserve">Standard deviation or variability of the dimensions (if reported only) — Test 3 — Specimen 3 2</t>
  </si>
  <si>
    <t xml:space="preserve">QT</t>
  </si>
  <si>
    <t xml:space="preserve">C3.4 Bulk density (kg/m³) — Test 3 — Specimen 3 2</t>
  </si>
  <si>
    <t xml:space="preserve">QU</t>
  </si>
  <si>
    <t xml:space="preserve">Standard deviation or variability of the bulk density (if reported only) — Test 3 — Specimen 3 2</t>
  </si>
  <si>
    <t xml:space="preserve">QV</t>
  </si>
  <si>
    <t xml:space="preserve">C3.5 Air voids (%) — Test 3 — Specimen 3 2</t>
  </si>
  <si>
    <t xml:space="preserve">QW</t>
  </si>
  <si>
    <t xml:space="preserve">Standard deviation or variability of the air voids (if reported only) — Test 3 — Specimen 3 2</t>
  </si>
  <si>
    <t xml:space="preserve">QX</t>
  </si>
  <si>
    <t xml:space="preserve">Is there another type of specimens that was used for this test? — Test 3 — after Specimen 3 2</t>
  </si>
  <si>
    <t xml:space="preserve">QY</t>
  </si>
  <si>
    <t xml:space="preserve">C3.1 What are the materials associated to this type of specimens? — Test 3 — Specimen 4 2</t>
  </si>
  <si>
    <t xml:space="preserve">QZ</t>
  </si>
  <si>
    <t xml:space="preserve">C3.2 Geometry — Test 3 — Specimen 4 2</t>
  </si>
  <si>
    <t xml:space="preserve">RA</t>
  </si>
  <si>
    <t xml:space="preserve">C3.2 Number of specimens — Test 3 — Specimen 4 2</t>
  </si>
  <si>
    <t xml:space="preserve">RB</t>
  </si>
  <si>
    <t xml:space="preserve">C3.3 Dimensions (D × L or equivalent) — Test 3 — Specimen 4 2</t>
  </si>
  <si>
    <t xml:space="preserve">RC</t>
  </si>
  <si>
    <t xml:space="preserve">Standard deviation or variability of the dimensions (if reported only) — Test 3 — Specimen 4 2</t>
  </si>
  <si>
    <t xml:space="preserve">RD</t>
  </si>
  <si>
    <t xml:space="preserve">C3.4 Bulk density (kg/m³) — Test 3 — Specimen 4 2</t>
  </si>
  <si>
    <t xml:space="preserve">RE</t>
  </si>
  <si>
    <t xml:space="preserve">Standard deviation or variability of the bulk density (if reported only) — Test 3 — Specimen 4 2</t>
  </si>
  <si>
    <t xml:space="preserve">RF</t>
  </si>
  <si>
    <t xml:space="preserve">C3.5 Air voids (%) — Test 3 — Specimen 4 2</t>
  </si>
  <si>
    <t xml:space="preserve">RG</t>
  </si>
  <si>
    <t xml:space="preserve">Standard deviation or variability of the air voids (if reported only) — Test 3 — Specimen 4 2</t>
  </si>
  <si>
    <t xml:space="preserve">RH</t>
  </si>
  <si>
    <t xml:space="preserve">Excitation source — Test 3</t>
  </si>
  <si>
    <t xml:space="preserve">RI</t>
  </si>
  <si>
    <t xml:space="preserve">Sensor(s) used to record the vibrations — Test 3</t>
  </si>
  <si>
    <t xml:space="preserve">RJ</t>
  </si>
  <si>
    <t xml:space="preserve">Boundary conditions — Test 3</t>
  </si>
  <si>
    <t xml:space="preserve">RK</t>
  </si>
  <si>
    <t xml:space="preserve">Mode(s) of vibrations studied — Test 3</t>
  </si>
  <si>
    <t xml:space="preserve">RL</t>
  </si>
  <si>
    <t xml:space="preserve">Standard / reference method (if any) — Test 3</t>
  </si>
  <si>
    <t xml:space="preserve">RM</t>
  </si>
  <si>
    <t xml:space="preserve">Number of impacts / repetitions for each specimen — Test 3</t>
  </si>
  <si>
    <t xml:space="preserve">RN</t>
  </si>
  <si>
    <t xml:space="preserve">Temperature(s) at which the test was performed (list all the temperatures) — Test 3</t>
  </si>
  <si>
    <t xml:space="preserve">RO</t>
  </si>
  <si>
    <t xml:space="preserve">Additional comment/note (if necessary) — Test 3 2</t>
  </si>
  <si>
    <t xml:space="preserve">RP</t>
  </si>
  <si>
    <t xml:space="preserve">Was any parameter/tool used to analyze signal quality (in time and/or frequency domain), for example, a coherence function? — Test 3</t>
  </si>
  <si>
    <t xml:space="preserve">RQ</t>
  </si>
  <si>
    <t xml:space="preserve">What transformation(s) were applied to the signals in the time domain? — Test 3</t>
  </si>
  <si>
    <t xml:space="preserve">RR</t>
  </si>
  <si>
    <t xml:space="preserve">What signal processing technique(s) were used for the transformation? — Test 3</t>
  </si>
  <si>
    <t xml:space="preserve">RS</t>
  </si>
  <si>
    <t xml:space="preserve">Additional comment/note (if necessary) — Test 3 3</t>
  </si>
  <si>
    <t xml:space="preserve">RT</t>
  </si>
  <si>
    <t xml:space="preserve">What mechanical properties were determined? — Test 3</t>
  </si>
  <si>
    <t xml:space="preserve">RU</t>
  </si>
  <si>
    <t xml:space="preserve">The determination of the mechanical properties was based on the signal in what domain? — Test 3</t>
  </si>
  <si>
    <t xml:space="preserve">RV</t>
  </si>
  <si>
    <t xml:space="preserve">What type of method(s) were used to determine the mechanical properties? — Test 3</t>
  </si>
  <si>
    <t xml:space="preserve">RW</t>
  </si>
  <si>
    <t xml:space="preserve">The mechanical properties were determined in what frequency range? — Test 3</t>
  </si>
  <si>
    <t xml:space="preserve">RX</t>
  </si>
  <si>
    <t xml:space="preserve">What key assumptions were made? — Test 3</t>
  </si>
  <si>
    <t xml:space="preserve">RY</t>
  </si>
  <si>
    <t xml:space="preserve">Were there any correction coefficient(s) applied in the process? — Test 3</t>
  </si>
  <si>
    <t xml:space="preserve">RZ</t>
  </si>
  <si>
    <t xml:space="preserve">What software(s) / tool(s) were used? — Test 3</t>
  </si>
  <si>
    <t xml:space="preserve">SA</t>
  </si>
  <si>
    <t xml:space="preserve">Additional comment/note (if necessary) — Test 3 4</t>
  </si>
  <si>
    <t xml:space="preserve">SD</t>
  </si>
  <si>
    <t xml:space="preserve">C3.2 Number of specimens — Test 3 — Specimen 1 3</t>
  </si>
  <si>
    <t xml:space="preserve">SF</t>
  </si>
  <si>
    <t xml:space="preserve">Standard deviation or variability of the dimensions (if reported only) — Test 3 — Specimen 1 3</t>
  </si>
  <si>
    <t xml:space="preserve">SH</t>
  </si>
  <si>
    <t xml:space="preserve">Standard deviation or variability of the bulk density (if reported only) — Test 3 — Specimen 1 3</t>
  </si>
  <si>
    <t xml:space="preserve">SJ</t>
  </si>
  <si>
    <t xml:space="preserve">Standard deviation or variability of the air voids (if reported only) — Test 3 — Specimen 1 3</t>
  </si>
  <si>
    <t xml:space="preserve">SL</t>
  </si>
  <si>
    <t xml:space="preserve">C3.1 What are the materials associated to this type of specimens? — Test 3 — Specimen 2 3</t>
  </si>
  <si>
    <t xml:space="preserve">SM</t>
  </si>
  <si>
    <t xml:space="preserve">C3.2 Geometry — Test 3 — Specimen 2 3</t>
  </si>
  <si>
    <t xml:space="preserve">SN</t>
  </si>
  <si>
    <t xml:space="preserve">C3.2 Number of specimens — Test 3 — Specimen 2 3</t>
  </si>
  <si>
    <t xml:space="preserve">SO</t>
  </si>
  <si>
    <t xml:space="preserve">C3.3 Dimensions (D × L or equivalent) — Test 3 — Specimen 2 3</t>
  </si>
  <si>
    <t xml:space="preserve">SP</t>
  </si>
  <si>
    <t xml:space="preserve">Standard deviation or variability of the dimensions (if reported only) — Test 3 — Specimen 2 3</t>
  </si>
  <si>
    <t xml:space="preserve">SQ</t>
  </si>
  <si>
    <t xml:space="preserve">C3.4 Bulk density (kg/m³) — Test 3 — Specimen 2 3</t>
  </si>
  <si>
    <t xml:space="preserve">SR</t>
  </si>
  <si>
    <t xml:space="preserve">Standard deviation or variability of the bulk density (if reported only) — Test 3 — Specimen 2 3</t>
  </si>
  <si>
    <t xml:space="preserve">SS</t>
  </si>
  <si>
    <t xml:space="preserve">C3.5 Air voids (%) — Test 3 — Specimen 2 3</t>
  </si>
  <si>
    <t xml:space="preserve">ST</t>
  </si>
  <si>
    <t xml:space="preserve">Standard deviation or variability of the air voids (if reported only) — Test 3 — Specimen 2 3</t>
  </si>
  <si>
    <t xml:space="preserve">SU</t>
  </si>
  <si>
    <t xml:space="preserve">Is there another type of specimens that was used for this test? — Test 3 — after Specimen 2 3</t>
  </si>
  <si>
    <t xml:space="preserve">SV</t>
  </si>
  <si>
    <t xml:space="preserve">C3.1 What are the materials associated to this type of specimens? — Test 3 — Specimen 3 3</t>
  </si>
  <si>
    <t xml:space="preserve">SW</t>
  </si>
  <si>
    <t xml:space="preserve">C3.2 Geometry — Test 3 — Specimen 3 3</t>
  </si>
  <si>
    <t xml:space="preserve">SX</t>
  </si>
  <si>
    <t xml:space="preserve">C3.2 Number of specimens — Test 3 — Specimen 3 3</t>
  </si>
  <si>
    <t xml:space="preserve">SY</t>
  </si>
  <si>
    <t xml:space="preserve">C3.3 Dimensions (D × L or equivalent) — Test 3 — Specimen 3 3</t>
  </si>
  <si>
    <t xml:space="preserve">SZ</t>
  </si>
  <si>
    <t xml:space="preserve">Standard deviation or variability of the dimensions (if reported only) — Test 3 — Specimen 3 3</t>
  </si>
  <si>
    <t xml:space="preserve">TA</t>
  </si>
  <si>
    <t xml:space="preserve">C3.4 Bulk density (kg/m³) — Test 3 — Specimen 3 3</t>
  </si>
  <si>
    <t xml:space="preserve">TB</t>
  </si>
  <si>
    <t xml:space="preserve">Standard deviation or variability of the bulk density (if reported only) — Test 3 — Specimen 3 3</t>
  </si>
  <si>
    <t xml:space="preserve">TC</t>
  </si>
  <si>
    <t xml:space="preserve">C3.5 Air voids (%) — Test 3 — Specimen 3 3</t>
  </si>
  <si>
    <t xml:space="preserve">TD</t>
  </si>
  <si>
    <t xml:space="preserve">Standard deviation or variability of the air voids (if reported only) — Test 3 — Specimen 3 3</t>
  </si>
  <si>
    <t xml:space="preserve">TE</t>
  </si>
  <si>
    <t xml:space="preserve">Is there another type of specimens that was used for this test? — Test 3 — after Specimen 3 3</t>
  </si>
  <si>
    <t xml:space="preserve">TF</t>
  </si>
  <si>
    <t xml:space="preserve">C3.1 What are the materials associated to this type of specimens? — Test 3 — Specimen 4 3</t>
  </si>
  <si>
    <t xml:space="preserve">TG</t>
  </si>
  <si>
    <t xml:space="preserve">C3.2 Geometry — Test 3 — Specimen 4 3</t>
  </si>
  <si>
    <t xml:space="preserve">TH</t>
  </si>
  <si>
    <t xml:space="preserve">C3.2 Number of specimens — Test 3 — Specimen 4 3</t>
  </si>
  <si>
    <t xml:space="preserve">TI</t>
  </si>
  <si>
    <t xml:space="preserve">C3.3 Dimensions (D × L or equivalent) — Test 3 — Specimen 4 3</t>
  </si>
  <si>
    <t xml:space="preserve">TJ</t>
  </si>
  <si>
    <t xml:space="preserve">Standard deviation or variability of the dimensions (if reported only) — Test 3 — Specimen 4 3</t>
  </si>
  <si>
    <t xml:space="preserve">TK</t>
  </si>
  <si>
    <t xml:space="preserve">C3.4 Bulk density (kg/m³) — Test 3 — Specimen 4 3</t>
  </si>
  <si>
    <t xml:space="preserve">TL</t>
  </si>
  <si>
    <t xml:space="preserve">Standard deviation or variability of the bulk density (if reported only) — Test 3 — Specimen 4 3</t>
  </si>
  <si>
    <t xml:space="preserve">TM</t>
  </si>
  <si>
    <t xml:space="preserve">C3.5 Air voids (%) — Test 3 — Specimen 4 3</t>
  </si>
  <si>
    <t xml:space="preserve">TN</t>
  </si>
  <si>
    <t xml:space="preserve">Standard deviation or variability of the air voids (if reported only) — Test 3 — Specimen 4 3</t>
  </si>
  <si>
    <t xml:space="preserve">TS</t>
  </si>
  <si>
    <t xml:space="preserve">Standard / reference method (if any) — Test 3 2</t>
  </si>
  <si>
    <t xml:space="preserve">TT</t>
  </si>
  <si>
    <t xml:space="preserve">Number of pulses / repetitions for each specimen — Test 3</t>
  </si>
  <si>
    <t xml:space="preserve">TV</t>
  </si>
  <si>
    <t xml:space="preserve">Additional comment/note (if necessary) — Test 3 5</t>
  </si>
  <si>
    <t xml:space="preserve">TW</t>
  </si>
  <si>
    <t xml:space="preserve">Was any parameter/tool used to analyze signal quality (in time and/or frequency domain), for example, a coherence function? — Test 3 2</t>
  </si>
  <si>
    <t xml:space="preserve">TX</t>
  </si>
  <si>
    <t xml:space="preserve">What transformation(s) were applied to the signals in the time domain? — Test 3 2</t>
  </si>
  <si>
    <t xml:space="preserve">TY</t>
  </si>
  <si>
    <t xml:space="preserve">What signal processing technique(s) were used for the transformation? — Test 3 2</t>
  </si>
  <si>
    <t xml:space="preserve">TZ</t>
  </si>
  <si>
    <t xml:space="preserve">Additional comment/note (if necessary) — Test 3 6</t>
  </si>
  <si>
    <t xml:space="preserve">UF</t>
  </si>
  <si>
    <t xml:space="preserve">What key assumptions were made? — Test 3 2</t>
  </si>
  <si>
    <t xml:space="preserve">UH</t>
  </si>
  <si>
    <t xml:space="preserve">Were there any correction coefficient(s) applied in the process? — Test 3 2</t>
  </si>
  <si>
    <t xml:space="preserve">UI</t>
  </si>
  <si>
    <t xml:space="preserve">What software(s) / tool(s) were used? — Test 3 2</t>
  </si>
  <si>
    <t xml:space="preserve">UJ</t>
  </si>
  <si>
    <t xml:space="preserve">Additional comment/note (if necessary) — Test 3 7</t>
  </si>
  <si>
    <t xml:space="preserve">UZ</t>
  </si>
  <si>
    <t xml:space="preserve">C3.2 Number of specimens — Test 4 — Specimen 2</t>
  </si>
  <si>
    <t xml:space="preserve">VA</t>
  </si>
  <si>
    <t xml:space="preserve">C3.3 Dimensions (D × L or equivalent) — Test 4 — Specimen 2</t>
  </si>
  <si>
    <t xml:space="preserve">VB</t>
  </si>
  <si>
    <t xml:space="preserve">Standard deviation or variability of the dimensions (if reported only) — Test 4 — Specimen 2</t>
  </si>
  <si>
    <t xml:space="preserve">VC</t>
  </si>
  <si>
    <t xml:space="preserve">C3.4 Bulk density (kg/m³) — Test 4 — Specimen 2</t>
  </si>
  <si>
    <t xml:space="preserve">VD</t>
  </si>
  <si>
    <t xml:space="preserve">Standard deviation or variability of the bulk density (if reported only) — Test 4 — Specimen 2</t>
  </si>
  <si>
    <t xml:space="preserve">VE</t>
  </si>
  <si>
    <t xml:space="preserve">C3.5 Air voids (%) — Test 4 — Specimen 2</t>
  </si>
  <si>
    <t xml:space="preserve">VF</t>
  </si>
  <si>
    <t xml:space="preserve">Standard deviation or variability of the air voids (if reported only) — Test 4 — Specimen 2</t>
  </si>
  <si>
    <t xml:space="preserve">VH</t>
  </si>
  <si>
    <t xml:space="preserve">C3.1 What are the materials associated to this type of specimens? — Test 4 — Specimen 3</t>
  </si>
  <si>
    <t xml:space="preserve">VI</t>
  </si>
  <si>
    <t xml:space="preserve">C3.2 Geometry — Test 4 — Specimen 3</t>
  </si>
  <si>
    <t xml:space="preserve">VJ</t>
  </si>
  <si>
    <t xml:space="preserve">C3.2 Number of specimens — Test 4 — Specimen 3</t>
  </si>
  <si>
    <t xml:space="preserve">VK</t>
  </si>
  <si>
    <t xml:space="preserve">C3.3 Dimensions (D × L or equivalent) — Test 4 — Specimen 3</t>
  </si>
  <si>
    <t xml:space="preserve">VL</t>
  </si>
  <si>
    <t xml:space="preserve">Standard deviation or variability of the dimensions (if reported only) — Test 4 — Specimen 3</t>
  </si>
  <si>
    <t xml:space="preserve">VM</t>
  </si>
  <si>
    <t xml:space="preserve">C3.4 Bulk density (kg/m³) — Test 4 — Specimen 3</t>
  </si>
  <si>
    <t xml:space="preserve">VN</t>
  </si>
  <si>
    <t xml:space="preserve">Standard deviation or variability of the bulk density (if reported only) — Test 4 — Specimen 3</t>
  </si>
  <si>
    <t xml:space="preserve">VO</t>
  </si>
  <si>
    <t xml:space="preserve">C3.5 Air voids (%) — Test 4 — Specimen 3</t>
  </si>
  <si>
    <t xml:space="preserve">VP</t>
  </si>
  <si>
    <t xml:space="preserve">Standard deviation or variability of the air voids (if reported only) — Test 4 — Specimen 3</t>
  </si>
  <si>
    <t xml:space="preserve">VQ</t>
  </si>
  <si>
    <t xml:space="preserve">Is there another type of specimens that was used for this test? — Test 4 — after Specimen 3</t>
  </si>
  <si>
    <t xml:space="preserve">VR</t>
  </si>
  <si>
    <t xml:space="preserve">C3.1 What are the materials associated to this type of specimens? — Test 4 — Specimen 4</t>
  </si>
  <si>
    <t xml:space="preserve">VS</t>
  </si>
  <si>
    <t xml:space="preserve">C3.2 Geometry — Test 4 — Specimen 4</t>
  </si>
  <si>
    <t xml:space="preserve">VT</t>
  </si>
  <si>
    <t xml:space="preserve">C3.2 Number of specimens — Test 4 — Specimen 4</t>
  </si>
  <si>
    <t xml:space="preserve">VU</t>
  </si>
  <si>
    <t xml:space="preserve">C3.3 Dimensions (D × L or equivalent) — Test 4 — Specimen 4</t>
  </si>
  <si>
    <t xml:space="preserve">VV</t>
  </si>
  <si>
    <t xml:space="preserve">Standard deviation or variability of the dimensions (if reported only) — Test 4 — Specimen 4</t>
  </si>
  <si>
    <t xml:space="preserve">VW</t>
  </si>
  <si>
    <t xml:space="preserve">C3.4 Bulk density (kg/m³) — Test 4 — Specimen 4</t>
  </si>
  <si>
    <t xml:space="preserve">VX</t>
  </si>
  <si>
    <t xml:space="preserve">Standard deviation or variability of the bulk density (if reported only) — Test 4 — Specimen 4</t>
  </si>
  <si>
    <t xml:space="preserve">VY</t>
  </si>
  <si>
    <t xml:space="preserve">C3.5 Air voids (%) — Test 4 — Specimen 4</t>
  </si>
  <si>
    <t xml:space="preserve">VZ</t>
  </si>
  <si>
    <t xml:space="preserve">Standard deviation or variability of the air voids (if reported only) — Test 4 — Specimen 4</t>
  </si>
  <si>
    <t xml:space="preserve">WI</t>
  </si>
  <si>
    <t xml:space="preserve">C3.1 What are the materials associated to this type of specimens? — Test 4 — Specimen 1 2</t>
  </si>
  <si>
    <t xml:space="preserve">WJ</t>
  </si>
  <si>
    <t xml:space="preserve">C3.2 Geometry — Test 4 — Specimen 1 2</t>
  </si>
  <si>
    <t xml:space="preserve">WK</t>
  </si>
  <si>
    <t xml:space="preserve">C3.2 Number of specimens — Test 4 — Specimen 1 2</t>
  </si>
  <si>
    <t xml:space="preserve">WL</t>
  </si>
  <si>
    <t xml:space="preserve">C3.3 Dimensions (D × L or equivalent) — Test 4 — Specimen 1 2</t>
  </si>
  <si>
    <t xml:space="preserve">WM</t>
  </si>
  <si>
    <t xml:space="preserve">Standard deviation or variability of the dimensions (if reported only) — Test 4 — Specimen 1 2</t>
  </si>
  <si>
    <t xml:space="preserve">WN</t>
  </si>
  <si>
    <t xml:space="preserve">C3.4 Bulk density (kg/m³) — Test 4 — Specimen 1 2</t>
  </si>
  <si>
    <t xml:space="preserve">WO</t>
  </si>
  <si>
    <t xml:space="preserve">Standard deviation or variability of the bulk density (if reported only) — Test 4 — Specimen 1 2</t>
  </si>
  <si>
    <t xml:space="preserve">WP</t>
  </si>
  <si>
    <t xml:space="preserve">C3.5 Air voids (%) — Test 4 — Specimen 1 2</t>
  </si>
  <si>
    <t xml:space="preserve">WQ</t>
  </si>
  <si>
    <t xml:space="preserve">Standard deviation or variability of the air voids (if reported only) — Test 4 — Specimen 1 2</t>
  </si>
  <si>
    <t xml:space="preserve">WR</t>
  </si>
  <si>
    <t xml:space="preserve">Is there another type of specimens that was used for this test? — Test 4 — after Specimen 1 2</t>
  </si>
  <si>
    <t xml:space="preserve">WS</t>
  </si>
  <si>
    <t xml:space="preserve">C3.1 What are the materials associated to this type of specimens? — Test 4 — Specimen 2 2</t>
  </si>
  <si>
    <t xml:space="preserve">WT</t>
  </si>
  <si>
    <t xml:space="preserve">C3.2 Geometry — Test 4 — Specimen 2 2</t>
  </si>
  <si>
    <t xml:space="preserve">WU</t>
  </si>
  <si>
    <t xml:space="preserve">C3.2 Number of specimens — Test 4 — Specimen 2 2</t>
  </si>
  <si>
    <t xml:space="preserve">WV</t>
  </si>
  <si>
    <t xml:space="preserve">C3.3 Dimensions (D × L or equivalent) — Test 4 — Specimen 2 2</t>
  </si>
  <si>
    <t xml:space="preserve">WW</t>
  </si>
  <si>
    <t xml:space="preserve">Standard deviation or variability of the dimensions (if reported only) — Test 4 — Specimen 2 2</t>
  </si>
  <si>
    <t xml:space="preserve">WX</t>
  </si>
  <si>
    <t xml:space="preserve">C3.4 Bulk density (kg/m³) — Test 4 — Specimen 2 2</t>
  </si>
  <si>
    <t xml:space="preserve">WY</t>
  </si>
  <si>
    <t xml:space="preserve">Standard deviation or variability of the bulk density (if reported only) — Test 4 — Specimen 2 2</t>
  </si>
  <si>
    <t xml:space="preserve">WZ</t>
  </si>
  <si>
    <t xml:space="preserve">C3.5 Air voids (%) — Test 4 — Specimen 2 2</t>
  </si>
  <si>
    <t xml:space="preserve">XA</t>
  </si>
  <si>
    <t xml:space="preserve">Standard deviation or variability of the air voids (if reported only) — Test 4 — Specimen 2 2</t>
  </si>
  <si>
    <t xml:space="preserve">XB</t>
  </si>
  <si>
    <t xml:space="preserve">Is there another type of specimens that was used for this test? — Test 4 — after Specimen 2 2</t>
  </si>
  <si>
    <t xml:space="preserve">XC</t>
  </si>
  <si>
    <t xml:space="preserve">C3.1 What are the materials associated to this type of specimens? — Test 4 — Specimen 3 2</t>
  </si>
  <si>
    <t xml:space="preserve">XD</t>
  </si>
  <si>
    <t xml:space="preserve">C3.2 Geometry — Test 4 — Specimen 3 2</t>
  </si>
  <si>
    <t xml:space="preserve">XE</t>
  </si>
  <si>
    <t xml:space="preserve">C3.2 Number of specimens — Test 4 — Specimen 3 2</t>
  </si>
  <si>
    <t xml:space="preserve">XF</t>
  </si>
  <si>
    <t xml:space="preserve">C3.3 Dimensions (D × L or equivalent) — Test 4 — Specimen 3 2</t>
  </si>
  <si>
    <t xml:space="preserve">XG</t>
  </si>
  <si>
    <t xml:space="preserve">Standard deviation or variability of the dimensions (if reported only) — Test 4 — Specimen 3 2</t>
  </si>
  <si>
    <t xml:space="preserve">XH</t>
  </si>
  <si>
    <t xml:space="preserve">C3.4 Bulk density (kg/m³) — Test 4 — Specimen 3 2</t>
  </si>
  <si>
    <t xml:space="preserve">XI</t>
  </si>
  <si>
    <t xml:space="preserve">Standard deviation or variability of the bulk density (if reported only) — Test 4 — Specimen 3 2</t>
  </si>
  <si>
    <t xml:space="preserve">XJ</t>
  </si>
  <si>
    <t xml:space="preserve">C3.5 Air voids (%) — Test 4 — Specimen 3 2</t>
  </si>
  <si>
    <t xml:space="preserve">XK</t>
  </si>
  <si>
    <t xml:space="preserve">Standard deviation or variability of the air voids (if reported only) — Test 4 — Specimen 3 2</t>
  </si>
  <si>
    <t xml:space="preserve">XL</t>
  </si>
  <si>
    <t xml:space="preserve">Is there another type of specimens that was used for this test? — Test 4 — after Specimen 3 2</t>
  </si>
  <si>
    <t xml:space="preserve">XM</t>
  </si>
  <si>
    <t xml:space="preserve">C3.1 What are the materials associated to this type of specimens? — Test 4 — Specimen 4 2</t>
  </si>
  <si>
    <t xml:space="preserve">XN</t>
  </si>
  <si>
    <t xml:space="preserve">C3.2 Geometry — Test 4 — Specimen 4 2</t>
  </si>
  <si>
    <t xml:space="preserve">XO</t>
  </si>
  <si>
    <t xml:space="preserve">C3.2 Number of specimens — Test 4 — Specimen 4 2</t>
  </si>
  <si>
    <t xml:space="preserve">XP</t>
  </si>
  <si>
    <t xml:space="preserve">C3.3 Dimensions (D × L or equivalent) — Test 4 — Specimen 4 2</t>
  </si>
  <si>
    <t xml:space="preserve">XQ</t>
  </si>
  <si>
    <t xml:space="preserve">Standard deviation or variability of the dimensions (if reported only) — Test 4 — Specimen 4 2</t>
  </si>
  <si>
    <t xml:space="preserve">XR</t>
  </si>
  <si>
    <t xml:space="preserve">C3.4 Bulk density (kg/m³) — Test 4 — Specimen 4 2</t>
  </si>
  <si>
    <t xml:space="preserve">XS</t>
  </si>
  <si>
    <t xml:space="preserve">Standard deviation or variability of the bulk density (if reported only) — Test 4 — Specimen 4 2</t>
  </si>
  <si>
    <t xml:space="preserve">XT</t>
  </si>
  <si>
    <t xml:space="preserve">C3.5 Air voids (%) — Test 4 — Specimen 4 2</t>
  </si>
  <si>
    <t xml:space="preserve">XU</t>
  </si>
  <si>
    <t xml:space="preserve">Standard deviation or variability of the air voids (if reported only) — Test 4 — Specimen 4 2</t>
  </si>
  <si>
    <t xml:space="preserve">XV</t>
  </si>
  <si>
    <t xml:space="preserve">Excitation source — Test 4</t>
  </si>
  <si>
    <t xml:space="preserve">XW</t>
  </si>
  <si>
    <t xml:space="preserve">Sensor(s) used to record the vibrations — Test 4</t>
  </si>
  <si>
    <t xml:space="preserve">XX</t>
  </si>
  <si>
    <t xml:space="preserve">Boundary conditions — Test 4</t>
  </si>
  <si>
    <t xml:space="preserve">XY</t>
  </si>
  <si>
    <t xml:space="preserve">Mode(s) of vibrations studied — Test 4</t>
  </si>
  <si>
    <t xml:space="preserve">XZ</t>
  </si>
  <si>
    <t xml:space="preserve">Standard / reference method (if any) — Test 4</t>
  </si>
  <si>
    <t xml:space="preserve">YA</t>
  </si>
  <si>
    <t xml:space="preserve">Number of impacts / repetitions for each specimen — Test 4</t>
  </si>
  <si>
    <t xml:space="preserve">YB</t>
  </si>
  <si>
    <t xml:space="preserve">Temperature(s) at which the test was performed (list all the temperatures) — Test 4</t>
  </si>
  <si>
    <t xml:space="preserve">YC</t>
  </si>
  <si>
    <t xml:space="preserve">Additional comment/note (if necessary) — Test 4 2</t>
  </si>
  <si>
    <t xml:space="preserve">YD</t>
  </si>
  <si>
    <t xml:space="preserve">Was any parameter/tool used to analyze signal quality (in time and/or frequency domain), for example, a coherence function? — Test 4</t>
  </si>
  <si>
    <t xml:space="preserve">YE</t>
  </si>
  <si>
    <t xml:space="preserve">What transformation(s) were applied to the signals in the time domain? — Test 4</t>
  </si>
  <si>
    <t xml:space="preserve">YF</t>
  </si>
  <si>
    <t xml:space="preserve">What signal processing technique(s) were used for the transformation? — Test 4</t>
  </si>
  <si>
    <t xml:space="preserve">YG</t>
  </si>
  <si>
    <t xml:space="preserve">Additional comment/note (if necessary) — Test 4 3</t>
  </si>
  <si>
    <t xml:space="preserve">YH</t>
  </si>
  <si>
    <t xml:space="preserve">What mechanical properties were determined? — Test 4</t>
  </si>
  <si>
    <t xml:space="preserve">YI</t>
  </si>
  <si>
    <t xml:space="preserve">The determination of the mechanical properties was based on the signal in what domain? — Test 4</t>
  </si>
  <si>
    <t xml:space="preserve">YJ</t>
  </si>
  <si>
    <t xml:space="preserve">What type of method(s) were used to determine the mechanical properties? — Test 4</t>
  </si>
  <si>
    <t xml:space="preserve">YK</t>
  </si>
  <si>
    <t xml:space="preserve">The mechanical properties were determined in what frequency range? — Test 4</t>
  </si>
  <si>
    <t xml:space="preserve">YL</t>
  </si>
  <si>
    <t xml:space="preserve">What key assumptions were made? — Test 4</t>
  </si>
  <si>
    <t xml:space="preserve">YM</t>
  </si>
  <si>
    <t xml:space="preserve">Were there any correction coefficient(s) applied in the process? — Test 4</t>
  </si>
  <si>
    <t xml:space="preserve">YN</t>
  </si>
  <si>
    <t xml:space="preserve">What software(s) / tool(s) were used? — Test 4</t>
  </si>
  <si>
    <t xml:space="preserve">YO</t>
  </si>
  <si>
    <t xml:space="preserve">Additional comment/note (if necessary) — Test 4 4</t>
  </si>
  <si>
    <t xml:space="preserve">YP</t>
  </si>
  <si>
    <t xml:space="preserve">C3.1 What are the materials associated to this type of specimens? — Test 4 — Specimen 1 3</t>
  </si>
  <si>
    <t xml:space="preserve">YQ</t>
  </si>
  <si>
    <t xml:space="preserve">C3.2 Geometry — Test 4 — Specimen 1 3</t>
  </si>
  <si>
    <t xml:space="preserve">YR</t>
  </si>
  <si>
    <t xml:space="preserve">C3.2 Number of specimens — Test 4 — Specimen 1 3</t>
  </si>
  <si>
    <t xml:space="preserve">YS</t>
  </si>
  <si>
    <t xml:space="preserve">C3.3 Dimensions (D × L or equivalent) — Test 4 — Specimen 1 3</t>
  </si>
  <si>
    <t xml:space="preserve">YT</t>
  </si>
  <si>
    <t xml:space="preserve">Standard deviation or variability of the dimensions (if reported only) — Test 4 — Specimen 1 3</t>
  </si>
  <si>
    <t xml:space="preserve">YU</t>
  </si>
  <si>
    <t xml:space="preserve">C3.4 Bulk density (kg/m³) — Test 4 — Specimen 1 3</t>
  </si>
  <si>
    <t xml:space="preserve">YV</t>
  </si>
  <si>
    <t xml:space="preserve">Standard deviation or variability of the bulk density (if reported only) — Test 4 — Specimen 1 3</t>
  </si>
  <si>
    <t xml:space="preserve">YW</t>
  </si>
  <si>
    <t xml:space="preserve">C3.5 Air voids (%) — Test 4 — Specimen 1 3</t>
  </si>
  <si>
    <t xml:space="preserve">YX</t>
  </si>
  <si>
    <t xml:space="preserve">Standard deviation or variability of the air voids (if reported only) — Test 4 — Specimen 1 3</t>
  </si>
  <si>
    <t xml:space="preserve">YY</t>
  </si>
  <si>
    <t xml:space="preserve">Is there another type of specimens that was used for this test? — Test 4 — after Specimen 1 3</t>
  </si>
  <si>
    <t xml:space="preserve">YZ</t>
  </si>
  <si>
    <t xml:space="preserve">C3.1 What are the materials associated to this type of specimens? — Test 4 — Specimen 2 3</t>
  </si>
  <si>
    <t xml:space="preserve">ZA</t>
  </si>
  <si>
    <t xml:space="preserve">C3.2 Geometry — Test 4 — Specimen 2 3</t>
  </si>
  <si>
    <t xml:space="preserve">ZB</t>
  </si>
  <si>
    <t xml:space="preserve">C3.2 Number of specimens — Test 4 — Specimen 2 3</t>
  </si>
  <si>
    <t xml:space="preserve">ZC</t>
  </si>
  <si>
    <t xml:space="preserve">C3.3 Dimensions (D × L or equivalent) — Test 4 — Specimen 2 3</t>
  </si>
  <si>
    <t xml:space="preserve">ZD</t>
  </si>
  <si>
    <t xml:space="preserve">Standard deviation or variability of the dimensions (if reported only) — Test 4 — Specimen 2 3</t>
  </si>
  <si>
    <t xml:space="preserve">ZE</t>
  </si>
  <si>
    <t xml:space="preserve">C3.4 Bulk density (kg/m³) — Test 4 — Specimen 2 3</t>
  </si>
  <si>
    <t xml:space="preserve">ZF</t>
  </si>
  <si>
    <t xml:space="preserve">Standard deviation or variability of the bulk density (if reported only) — Test 4 — Specimen 2 3</t>
  </si>
  <si>
    <t xml:space="preserve">ZG</t>
  </si>
  <si>
    <t xml:space="preserve">C3.5 Air voids (%) — Test 4 — Specimen 2 3</t>
  </si>
  <si>
    <t xml:space="preserve">ZH</t>
  </si>
  <si>
    <t xml:space="preserve">Standard deviation or variability of the air voids (if reported only) — Test 4 — Specimen 2 3</t>
  </si>
  <si>
    <t xml:space="preserve">ZI</t>
  </si>
  <si>
    <t xml:space="preserve">Is there another type of specimens that was used for this test? — Test 4 — after Specimen 2 3</t>
  </si>
  <si>
    <t xml:space="preserve">ZJ</t>
  </si>
  <si>
    <t xml:space="preserve">C3.1 What are the materials associated to this type of specimens? — Test 4 — Specimen 3 3</t>
  </si>
  <si>
    <t xml:space="preserve">ZK</t>
  </si>
  <si>
    <t xml:space="preserve">C3.2 Geometry — Test 4 — Specimen 3 3</t>
  </si>
  <si>
    <t xml:space="preserve">ZL</t>
  </si>
  <si>
    <t xml:space="preserve">C3.2 Number of specimens — Test 4 — Specimen 3 3</t>
  </si>
  <si>
    <t xml:space="preserve">ZM</t>
  </si>
  <si>
    <t xml:space="preserve">C3.3 Dimensions (D × L or equivalent) — Test 4 — Specimen 3 3</t>
  </si>
  <si>
    <t xml:space="preserve">ZN</t>
  </si>
  <si>
    <t xml:space="preserve">Standard deviation or variability of the dimensions (if reported only) — Test 4 — Specimen 3 3</t>
  </si>
  <si>
    <t xml:space="preserve">ZO</t>
  </si>
  <si>
    <t xml:space="preserve">C3.4 Bulk density (kg/m³) — Test 4 — Specimen 3 3</t>
  </si>
  <si>
    <t xml:space="preserve">ZP</t>
  </si>
  <si>
    <t xml:space="preserve">Standard deviation or variability of the bulk density (if reported only) — Test 4 — Specimen 3 3</t>
  </si>
  <si>
    <t xml:space="preserve">ZQ</t>
  </si>
  <si>
    <t xml:space="preserve">C3.5 Air voids (%) — Test 4 — Specimen 3 3</t>
  </si>
  <si>
    <t xml:space="preserve">ZR</t>
  </si>
  <si>
    <t xml:space="preserve">Standard deviation or variability of the air voids (if reported only) — Test 4 — Specimen 3 3</t>
  </si>
  <si>
    <t xml:space="preserve">ZS</t>
  </si>
  <si>
    <t xml:space="preserve">Is there another type of specimens that was used for this test? — Test 4 — after Specimen 3 3</t>
  </si>
  <si>
    <t xml:space="preserve">ZT</t>
  </si>
  <si>
    <t xml:space="preserve">C3.1 What are the materials associated to this type of specimens? — Test 4 — Specimen 4 3</t>
  </si>
  <si>
    <t xml:space="preserve">ZU</t>
  </si>
  <si>
    <t xml:space="preserve">C3.2 Geometry — Test 4 — Specimen 4 3</t>
  </si>
  <si>
    <t xml:space="preserve">ZV</t>
  </si>
  <si>
    <t xml:space="preserve">C3.2 Number of specimens — Test 4 — Specimen 4 3</t>
  </si>
  <si>
    <t xml:space="preserve">ZW</t>
  </si>
  <si>
    <t xml:space="preserve">C3.3 Dimensions (D × L or equivalent) — Test 4 — Specimen 4 3</t>
  </si>
  <si>
    <t xml:space="preserve">ZX</t>
  </si>
  <si>
    <t xml:space="preserve">Standard deviation or variability of the dimensions (if reported only) — Test 4 — Specimen 4 3</t>
  </si>
  <si>
    <t xml:space="preserve">ZY</t>
  </si>
  <si>
    <t xml:space="preserve">C3.4 Bulk density (kg/m³) — Test 4 — Specimen 4 3</t>
  </si>
  <si>
    <t xml:space="preserve">ZZ</t>
  </si>
  <si>
    <t xml:space="preserve">Standard deviation or variability of the bulk density (if reported only) — Test 4 — Specimen 4 3</t>
  </si>
  <si>
    <t xml:space="preserve">AAA</t>
  </si>
  <si>
    <t xml:space="preserve">C3.5 Air voids (%) — Test 4 — Specimen 4 3</t>
  </si>
  <si>
    <t xml:space="preserve">AAB</t>
  </si>
  <si>
    <t xml:space="preserve">Standard deviation or variability of the air voids (if reported only) — Test 4 — Specimen 4 3</t>
  </si>
  <si>
    <t xml:space="preserve">AAC</t>
  </si>
  <si>
    <t xml:space="preserve">Transducers type (specify the model if reported) — Test 4</t>
  </si>
  <si>
    <t xml:space="preserve">AAD</t>
  </si>
  <si>
    <t xml:space="preserve">Specify the central frequency of the transducers (if reported) — Test 4</t>
  </si>
  <si>
    <t xml:space="preserve">AAE</t>
  </si>
  <si>
    <t xml:space="preserve">What type(s) of waves were considered? — Test 4</t>
  </si>
  <si>
    <t xml:space="preserve">AAF</t>
  </si>
  <si>
    <t xml:space="preserve">Test configuration — Test 4</t>
  </si>
  <si>
    <t xml:space="preserve">AAG</t>
  </si>
  <si>
    <t xml:space="preserve">Standard / reference method (if any) — Test 4 2</t>
  </si>
  <si>
    <t xml:space="preserve">AAH</t>
  </si>
  <si>
    <t xml:space="preserve">Number of pulses / repetitions for each specimen — Test 4</t>
  </si>
  <si>
    <t xml:space="preserve">AAI</t>
  </si>
  <si>
    <t xml:space="preserve">Temperature(s) at which the test was performed (list all the temperatures) — Test 4 2</t>
  </si>
  <si>
    <t xml:space="preserve">AAJ</t>
  </si>
  <si>
    <t xml:space="preserve">Additional comment/note (if necessary) — Test 4 5</t>
  </si>
  <si>
    <t xml:space="preserve">AAK</t>
  </si>
  <si>
    <t xml:space="preserve">Was any parameter/tool used to analyze signal quality (in time and/or frequency domain), for example, a coherence function? — Test 4 2</t>
  </si>
  <si>
    <t xml:space="preserve">AAL</t>
  </si>
  <si>
    <t xml:space="preserve">What transformation(s) were applied to the signals in the time domain? — Test 4 2</t>
  </si>
  <si>
    <t xml:space="preserve">AAM</t>
  </si>
  <si>
    <t xml:space="preserve">What signal processing technique(s) were used for the transformation? — Test 4 2</t>
  </si>
  <si>
    <t xml:space="preserve">AAN</t>
  </si>
  <si>
    <t xml:space="preserve">Additional comment/note (if necessary) — Test 4 6</t>
  </si>
  <si>
    <t xml:space="preserve">AAO</t>
  </si>
  <si>
    <t xml:space="preserve">What mechanical properties were determined? — Test 4 2</t>
  </si>
  <si>
    <t xml:space="preserve">AAP</t>
  </si>
  <si>
    <t xml:space="preserve">The determination of the mechanical properties was based on the signal in what domain? — Test 4 2</t>
  </si>
  <si>
    <t xml:space="preserve">AAQ</t>
  </si>
  <si>
    <t xml:space="preserve">What technique was used to determine time of flight (ToF)? — Test 4</t>
  </si>
  <si>
    <t xml:space="preserve">AAR</t>
  </si>
  <si>
    <t xml:space="preserve">What type of method(s) were used to determine the mechanical properties? — Test 4 2</t>
  </si>
  <si>
    <t xml:space="preserve">AAS</t>
  </si>
  <si>
    <t xml:space="preserve">For analytical methods, please specify the standard or equation that was used (if referenced) — Test 4</t>
  </si>
  <si>
    <t xml:space="preserve">AAT</t>
  </si>
  <si>
    <t xml:space="preserve">What key assumptions were made? — Test 4 2</t>
  </si>
  <si>
    <t xml:space="preserve">AAU</t>
  </si>
  <si>
    <t xml:space="preserve">How was the Poisson’s ratio considered in the resolution? — Test 4</t>
  </si>
  <si>
    <t xml:space="preserve">AAV</t>
  </si>
  <si>
    <t xml:space="preserve">Were there any correction coefficient(s) applied in the process? — Test 4 2</t>
  </si>
  <si>
    <t xml:space="preserve">AAW</t>
  </si>
  <si>
    <t xml:space="preserve">What software(s) / tool(s) were used? — Test 4 2</t>
  </si>
  <si>
    <t xml:space="preserve">AAX</t>
  </si>
  <si>
    <t xml:space="preserve">Additional comment/note (if necessary) — Test 4 7</t>
  </si>
  <si>
    <t xml:space="preserve">354 columns are blank for ALL 155 papers. Cells containing "No", "Not reported" or "Not applicable" are NOT treated as empty.</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</si>
</sst>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C00000"/>
      <name val="Arial"/>
      <family val="0"/>
      <charset val="1"/>
    </font>
    <font>
      <b val="true"/>
      <sz val="11"/>
      <name val="Arial"/>
      <family val="0"/>
      <charset val="1"/>
    </font>
    <font>
      <i val="true"/>
      <sz val="9"/>
      <name val="Arial"/>
      <family val="0"/>
      <charset val="1"/>
    </font>
  </fonts>
  <fills count="9">
    <fill>
      <patternFill patternType="none"/>
    </fill>
    <fill>
      <patternFill patternType="gray125"/>
    </fill>
    <fill>
      <patternFill patternType="solid">
        <fgColor rgb="FFD9D9D9"/>
        <bgColor rgb="FFD9C7E9"/>
      </patternFill>
    </fill>
    <fill>
      <patternFill patternType="solid">
        <fgColor rgb="FFBDD7EE"/>
        <bgColor rgb="FFD9D9D9"/>
      </patternFill>
    </fill>
    <fill>
      <patternFill patternType="solid">
        <fgColor rgb="FFC6E0B4"/>
        <bgColor rgb="FFD9D9D9"/>
      </patternFill>
    </fill>
    <fill>
      <patternFill patternType="solid">
        <fgColor rgb="FFF4B0A9"/>
        <bgColor rgb="FFF8CBAD"/>
      </patternFill>
    </fill>
    <fill>
      <patternFill patternType="solid">
        <fgColor rgb="FFFBE2DE"/>
        <bgColor rgb="FFD9D9D9"/>
      </patternFill>
    </fill>
    <fill>
      <patternFill patternType="solid">
        <fgColor rgb="FFD9C7E9"/>
        <bgColor rgb="FFD9D9D9"/>
      </patternFill>
    </fill>
    <fill>
      <patternFill patternType="solid">
        <fgColor rgb="FFF8CBAD"/>
        <bgColor rgb="FFF4B0A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4" fillId="4" borderId="1" xfId="0" applyFont="true" applyBorder="true" applyAlignment="true" applyProtection="false">
      <alignment horizontal="general" vertical="center" textRotation="0" wrapText="true" indent="0" shrinkToFit="false"/>
      <protection locked="true" hidden="false"/>
    </xf>
    <xf numFmtId="164" fontId="4" fillId="5" borderId="1" xfId="0" applyFont="true" applyBorder="true" applyAlignment="true" applyProtection="false">
      <alignment horizontal="general" vertical="center" textRotation="0" wrapText="true" indent="0" shrinkToFit="false"/>
      <protection locked="true" hidden="false"/>
    </xf>
    <xf numFmtId="164" fontId="4" fillId="6" borderId="1" xfId="0" applyFont="true" applyBorder="true" applyAlignment="true" applyProtection="false">
      <alignment horizontal="general" vertical="center" textRotation="0" wrapText="true" indent="0" shrinkToFit="false"/>
      <protection locked="true" hidden="false"/>
    </xf>
    <xf numFmtId="164" fontId="4" fillId="7" borderId="1" xfId="0" applyFont="true" applyBorder="true" applyAlignment="true" applyProtection="false">
      <alignment horizontal="general" vertical="center" textRotation="0" wrapText="true" indent="0" shrinkToFit="false"/>
      <protection locked="true" hidden="false"/>
    </xf>
    <xf numFmtId="164" fontId="4" fillId="8"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2DE"/>
      <rgbColor rgb="FFD9D9D9"/>
      <rgbColor rgb="FF660066"/>
      <rgbColor rgb="FFFF8080"/>
      <rgbColor rgb="FF0066CC"/>
      <rgbColor rgb="FFD9C7E9"/>
      <rgbColor rgb="FF000080"/>
      <rgbColor rgb="FFFF00FF"/>
      <rgbColor rgb="FFFFFF00"/>
      <rgbColor rgb="FF00FFFF"/>
      <rgbColor rgb="FF800080"/>
      <rgbColor rgb="FF800000"/>
      <rgbColor rgb="FF008080"/>
      <rgbColor rgb="FF0000FF"/>
      <rgbColor rgb="FF00CCFF"/>
      <rgbColor rgb="FFCCFFFF"/>
      <rgbColor rgb="FFC6E0B4"/>
      <rgbColor rgb="FFFFFF99"/>
      <rgbColor rgb="FFBDD7EE"/>
      <rgbColor rgb="FFF4B0A9"/>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row>
    <row r="6" customFormat="false" ht="23.85"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1" t="s">
        <v>4</v>
      </c>
    </row>
    <row r="9" customFormat="false" ht="15" hidden="false" customHeight="false" outlineLevel="0" collapsed="false">
      <c r="A9" s="2" t="s">
        <v>5</v>
      </c>
    </row>
    <row r="10" customFormat="false" ht="1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1" t="s">
        <v>11</v>
      </c>
    </row>
    <row r="17" customFormat="false" ht="23.85" hidden="false" customHeight="false" outlineLevel="0" collapsed="false">
      <c r="A17" s="2" t="s">
        <v>12</v>
      </c>
    </row>
    <row r="18" customFormat="false" ht="15" hidden="false" customHeight="false" outlineLevel="0" collapsed="false">
      <c r="A18" s="2" t="s">
        <v>13</v>
      </c>
    </row>
    <row r="19" customFormat="false" ht="23.85" hidden="false" customHeight="false" outlineLevel="0" collapsed="false">
      <c r="A19" s="2" t="s">
        <v>14</v>
      </c>
    </row>
    <row r="20" customFormat="false" ht="23.85" hidden="false" customHeight="false" outlineLevel="0" collapsed="false">
      <c r="A20" s="2" t="s">
        <v>15</v>
      </c>
    </row>
    <row r="21" customFormat="false" ht="23.85" hidden="false" customHeight="false" outlineLevel="0" collapsed="false">
      <c r="A21" s="2" t="s">
        <v>16</v>
      </c>
    </row>
    <row r="22" customFormat="false" ht="23.85" hidden="false" customHeight="false" outlineLevel="0" collapsed="false">
      <c r="A22" s="2" t="s">
        <v>17</v>
      </c>
    </row>
    <row r="23" customFormat="false" ht="15" hidden="false" customHeight="false" outlineLevel="0" collapsed="false">
      <c r="A23" s="2" t="s">
        <v>18</v>
      </c>
    </row>
    <row r="24" customFormat="false" ht="23.8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7"/>
    <col collapsed="false" customWidth="true" hidden="false" outlineLevel="0" max="4" min="4" style="0" width="40"/>
    <col collapsed="false" customWidth="true" hidden="false" outlineLevel="0" max="5" min="5" style="0" width="12"/>
    <col collapsed="false" customWidth="true" hidden="false" outlineLevel="0" max="6" min="6" style="0" width="24"/>
    <col collapsed="false" customWidth="true" hidden="false" outlineLevel="0" max="7" min="7" style="0" width="12"/>
    <col collapsed="false" customWidth="true" hidden="false" outlineLevel="0" max="8" min="8" style="0" width="10"/>
    <col collapsed="false" customWidth="true" hidden="false" outlineLevel="0" max="9" min="9" style="0" width="40"/>
    <col collapsed="false" customWidth="true" hidden="false" outlineLevel="0" max="10" min="10" style="0" width="10"/>
    <col collapsed="false" customWidth="true" hidden="false" outlineLevel="0" max="11" min="11" style="0" width="38"/>
    <col collapsed="false" customWidth="true" hidden="false" outlineLevel="0" max="12" min="12" style="0" width="10"/>
    <col collapsed="false" customWidth="true" hidden="false" outlineLevel="0" max="15" min="13" style="0" width="9"/>
    <col collapsed="false" customWidth="true" hidden="false" outlineLevel="0" max="16" min="16" style="0" width="26"/>
    <col collapsed="false" customWidth="true" hidden="false" outlineLevel="0" max="17" min="17" style="0" width="28"/>
    <col collapsed="false" customWidth="true" hidden="false" outlineLevel="0" max="18" min="18" style="0" width="30"/>
    <col collapsed="false" customWidth="true" hidden="false" outlineLevel="0" max="20" min="19" style="0" width="34"/>
    <col collapsed="false" customWidth="true" hidden="false" outlineLevel="0" max="21" min="21" style="0" width="9"/>
    <col collapsed="false" customWidth="true" hidden="false" outlineLevel="0" max="22" min="22" style="0" width="20"/>
    <col collapsed="false" customWidth="true" hidden="false" outlineLevel="0" max="23" min="23" style="0" width="30"/>
    <col collapsed="false" customWidth="true" hidden="false" outlineLevel="0" max="24" min="24" style="0" width="9"/>
    <col collapsed="false" customWidth="true" hidden="false" outlineLevel="0" max="26" min="25" style="0" width="36"/>
    <col collapsed="false" customWidth="true" hidden="false" outlineLevel="0" max="28" min="27" style="0" width="20"/>
    <col collapsed="false" customWidth="true" hidden="false" outlineLevel="0" max="29" min="29" style="0" width="9"/>
    <col collapsed="false" customWidth="true" hidden="false" outlineLevel="0" max="30" min="30" style="0" width="34"/>
    <col collapsed="false" customWidth="true" hidden="false" outlineLevel="0" max="31" min="31" style="0" width="12"/>
    <col collapsed="false" customWidth="true" hidden="false" outlineLevel="0" max="32" min="32" style="0" width="30"/>
    <col collapsed="false" customWidth="true" hidden="false" outlineLevel="0" max="33" min="33" style="0" width="26"/>
    <col collapsed="false" customWidth="true" hidden="false" outlineLevel="0" max="34" min="34" style="0" width="40"/>
  </cols>
  <sheetData>
    <row r="1" customFormat="false" ht="79.85" hidden="false" customHeight="false" outlineLevel="0" collapsed="false">
      <c r="A1" s="3" t="s">
        <v>22</v>
      </c>
      <c r="B1" s="3" t="s">
        <v>23</v>
      </c>
      <c r="C1" s="3" t="s">
        <v>24</v>
      </c>
      <c r="D1" s="3" t="s">
        <v>25</v>
      </c>
      <c r="E1" s="3" t="s">
        <v>26</v>
      </c>
      <c r="F1" s="3" t="s">
        <v>27</v>
      </c>
      <c r="G1" s="3" t="s">
        <v>28</v>
      </c>
      <c r="H1" s="4" t="s">
        <v>29</v>
      </c>
      <c r="I1" s="4" t="s">
        <v>30</v>
      </c>
      <c r="J1" s="5" t="s">
        <v>31</v>
      </c>
      <c r="K1" s="5" t="s">
        <v>32</v>
      </c>
      <c r="L1" s="6" t="s">
        <v>33</v>
      </c>
      <c r="M1" s="7" t="s">
        <v>34</v>
      </c>
      <c r="N1" s="7" t="s">
        <v>35</v>
      </c>
      <c r="O1" s="7" t="s">
        <v>36</v>
      </c>
      <c r="P1" s="7" t="s">
        <v>37</v>
      </c>
      <c r="Q1" s="7" t="s">
        <v>38</v>
      </c>
      <c r="R1" s="7" t="s">
        <v>39</v>
      </c>
      <c r="S1" s="7" t="s">
        <v>40</v>
      </c>
      <c r="T1" s="7" t="s">
        <v>41</v>
      </c>
      <c r="U1" s="8" t="s">
        <v>42</v>
      </c>
      <c r="V1" s="8" t="s">
        <v>43</v>
      </c>
      <c r="W1" s="8" t="s">
        <v>44</v>
      </c>
      <c r="X1" s="9" t="s">
        <v>45</v>
      </c>
      <c r="Y1" s="9" t="s">
        <v>46</v>
      </c>
      <c r="Z1" s="9" t="s">
        <v>47</v>
      </c>
      <c r="AA1" s="3" t="s">
        <v>48</v>
      </c>
      <c r="AB1" s="3" t="s">
        <v>49</v>
      </c>
      <c r="AC1" s="3" t="s">
        <v>50</v>
      </c>
      <c r="AD1" s="3" t="s">
        <v>51</v>
      </c>
      <c r="AE1" s="3" t="s">
        <v>52</v>
      </c>
      <c r="AF1" s="3" t="s">
        <v>53</v>
      </c>
      <c r="AG1" s="3" t="s">
        <v>54</v>
      </c>
      <c r="AH1" s="3" t="s">
        <v>55</v>
      </c>
    </row>
    <row r="2" customFormat="false" ht="46.25" hidden="false" customHeight="false" outlineLevel="0" collapsed="false">
      <c r="A2" s="10" t="s">
        <v>56</v>
      </c>
      <c r="B2" s="10" t="s">
        <v>57</v>
      </c>
      <c r="C2" s="10" t="s">
        <v>58</v>
      </c>
      <c r="D2" s="10" t="s">
        <v>59</v>
      </c>
      <c r="E2" s="10" t="s">
        <v>60</v>
      </c>
      <c r="F2" s="10" t="s">
        <v>61</v>
      </c>
      <c r="G2" s="10" t="s">
        <v>62</v>
      </c>
      <c r="H2" s="10" t="n">
        <v>2</v>
      </c>
      <c r="I2" s="10" t="s">
        <v>63</v>
      </c>
      <c r="J2" s="10" t="n">
        <v>2</v>
      </c>
      <c r="K2" s="10" t="s">
        <v>64</v>
      </c>
      <c r="L2" s="10" t="n">
        <v>2</v>
      </c>
      <c r="M2" s="10" t="n">
        <v>1</v>
      </c>
      <c r="N2" s="10" t="n">
        <v>1</v>
      </c>
      <c r="O2" s="10" t="n">
        <v>1</v>
      </c>
      <c r="P2" s="10" t="s">
        <v>65</v>
      </c>
      <c r="Q2" s="10" t="s">
        <v>66</v>
      </c>
      <c r="R2" s="10" t="s">
        <v>67</v>
      </c>
      <c r="S2" s="10" t="s">
        <v>68</v>
      </c>
      <c r="T2" s="10" t="s">
        <v>69</v>
      </c>
      <c r="U2" s="10" t="n">
        <v>0</v>
      </c>
      <c r="V2" s="10" t="s">
        <v>70</v>
      </c>
      <c r="W2" s="10" t="s">
        <v>69</v>
      </c>
      <c r="X2" s="10" t="n">
        <v>1</v>
      </c>
      <c r="Y2" s="10" t="s">
        <v>71</v>
      </c>
      <c r="Z2" s="10" t="s">
        <v>69</v>
      </c>
      <c r="AA2" s="10" t="s">
        <v>72</v>
      </c>
      <c r="AB2" s="10" t="s">
        <v>73</v>
      </c>
      <c r="AC2" s="10" t="s">
        <v>74</v>
      </c>
      <c r="AD2" s="10" t="s">
        <v>75</v>
      </c>
      <c r="AE2" s="10" t="s">
        <v>76</v>
      </c>
      <c r="AF2" s="10" t="s">
        <v>77</v>
      </c>
      <c r="AG2" s="10" t="s">
        <v>78</v>
      </c>
      <c r="AH2" s="10" t="s">
        <v>79</v>
      </c>
    </row>
    <row r="3" customFormat="false" ht="46.25" hidden="false" customHeight="false" outlineLevel="0" collapsed="false">
      <c r="A3" s="10" t="s">
        <v>80</v>
      </c>
      <c r="B3" s="10" t="s">
        <v>81</v>
      </c>
      <c r="C3" s="10" t="s">
        <v>82</v>
      </c>
      <c r="D3" s="10" t="s">
        <v>83</v>
      </c>
      <c r="E3" s="10" t="s">
        <v>60</v>
      </c>
      <c r="F3" s="10" t="s">
        <v>84</v>
      </c>
      <c r="G3" s="10" t="s">
        <v>62</v>
      </c>
      <c r="H3" s="10" t="n">
        <v>1</v>
      </c>
      <c r="I3" s="10" t="s">
        <v>85</v>
      </c>
      <c r="J3" s="10" t="n">
        <v>2</v>
      </c>
      <c r="K3" s="10" t="s">
        <v>86</v>
      </c>
      <c r="L3" s="10" t="n">
        <v>3</v>
      </c>
      <c r="M3" s="10" t="n">
        <v>0</v>
      </c>
      <c r="N3" s="10" t="n">
        <v>2</v>
      </c>
      <c r="O3" s="10" t="n">
        <v>3</v>
      </c>
      <c r="P3" s="10" t="s">
        <v>87</v>
      </c>
      <c r="Q3" s="10" t="s">
        <v>88</v>
      </c>
      <c r="R3" s="10" t="s">
        <v>89</v>
      </c>
      <c r="S3" s="10" t="s">
        <v>90</v>
      </c>
      <c r="T3" s="10" t="s">
        <v>91</v>
      </c>
      <c r="U3" s="10" t="n">
        <v>2</v>
      </c>
      <c r="V3" s="10" t="s">
        <v>92</v>
      </c>
      <c r="W3" s="10" t="s">
        <v>93</v>
      </c>
      <c r="X3" s="10" t="n">
        <v>0</v>
      </c>
      <c r="Y3" s="10" t="s">
        <v>69</v>
      </c>
      <c r="Z3" s="10" t="s">
        <v>69</v>
      </c>
      <c r="AA3" s="10" t="s">
        <v>73</v>
      </c>
      <c r="AB3" s="10" t="s">
        <v>72</v>
      </c>
      <c r="AC3" s="10" t="s">
        <v>94</v>
      </c>
      <c r="AD3" s="10" t="s">
        <v>95</v>
      </c>
      <c r="AE3" s="10" t="s">
        <v>62</v>
      </c>
      <c r="AF3" s="10" t="s">
        <v>77</v>
      </c>
      <c r="AG3" s="10" t="s">
        <v>78</v>
      </c>
      <c r="AH3" s="10" t="s">
        <v>96</v>
      </c>
    </row>
    <row r="4" customFormat="false" ht="35.05" hidden="false" customHeight="false" outlineLevel="0" collapsed="false">
      <c r="A4" s="10" t="s">
        <v>97</v>
      </c>
      <c r="B4" s="10" t="s">
        <v>98</v>
      </c>
      <c r="C4" s="10" t="s">
        <v>99</v>
      </c>
      <c r="D4" s="10" t="s">
        <v>100</v>
      </c>
      <c r="E4" s="10" t="s">
        <v>101</v>
      </c>
      <c r="F4" s="10" t="s">
        <v>61</v>
      </c>
      <c r="G4" s="10" t="s">
        <v>62</v>
      </c>
      <c r="H4" s="10" t="n">
        <v>1</v>
      </c>
      <c r="I4" s="10" t="s">
        <v>102</v>
      </c>
      <c r="J4" s="10" t="n">
        <v>1</v>
      </c>
      <c r="K4" s="10" t="s">
        <v>103</v>
      </c>
      <c r="L4" s="10" t="n">
        <v>1</v>
      </c>
      <c r="M4" s="10" t="n">
        <v>1</v>
      </c>
      <c r="N4" s="10" t="n">
        <v>0</v>
      </c>
      <c r="O4" s="10" t="n">
        <v>1</v>
      </c>
      <c r="P4" s="10" t="s">
        <v>65</v>
      </c>
      <c r="Q4" s="10" t="s">
        <v>104</v>
      </c>
      <c r="R4" s="10" t="s">
        <v>105</v>
      </c>
      <c r="S4" s="10" t="s">
        <v>106</v>
      </c>
      <c r="T4" s="10" t="s">
        <v>107</v>
      </c>
      <c r="U4" s="10" t="n">
        <v>0</v>
      </c>
      <c r="V4" s="10" t="s">
        <v>70</v>
      </c>
      <c r="W4" s="10" t="s">
        <v>108</v>
      </c>
      <c r="X4" s="10" t="n">
        <v>1</v>
      </c>
      <c r="Y4" s="10" t="s">
        <v>109</v>
      </c>
      <c r="Z4" s="10" t="s">
        <v>69</v>
      </c>
      <c r="AA4" s="10" t="s">
        <v>110</v>
      </c>
      <c r="AB4" s="10" t="s">
        <v>70</v>
      </c>
      <c r="AC4" s="10" t="s">
        <v>74</v>
      </c>
      <c r="AD4" s="10" t="s">
        <v>111</v>
      </c>
      <c r="AE4" s="10" t="s">
        <v>112</v>
      </c>
      <c r="AF4" s="10" t="s">
        <v>77</v>
      </c>
      <c r="AG4" s="10" t="s">
        <v>113</v>
      </c>
      <c r="AH4" s="10" t="s">
        <v>114</v>
      </c>
    </row>
    <row r="5" customFormat="false" ht="46.25" hidden="false" customHeight="false" outlineLevel="0" collapsed="false">
      <c r="A5" s="10" t="s">
        <v>115</v>
      </c>
      <c r="B5" s="10" t="s">
        <v>116</v>
      </c>
      <c r="C5" s="10" t="s">
        <v>58</v>
      </c>
      <c r="D5" s="10" t="s">
        <v>117</v>
      </c>
      <c r="E5" s="10" t="s">
        <v>101</v>
      </c>
      <c r="F5" s="10" t="s">
        <v>118</v>
      </c>
      <c r="G5" s="10" t="s">
        <v>112</v>
      </c>
      <c r="H5" s="10" t="n">
        <v>1</v>
      </c>
      <c r="I5" s="10" t="s">
        <v>119</v>
      </c>
      <c r="J5" s="10" t="n">
        <v>2</v>
      </c>
      <c r="K5" s="10" t="s">
        <v>120</v>
      </c>
      <c r="L5" s="10" t="n">
        <v>2</v>
      </c>
      <c r="M5" s="10" t="n">
        <v>1</v>
      </c>
      <c r="N5" s="10" t="n">
        <v>2</v>
      </c>
      <c r="O5" s="10" t="n">
        <v>1</v>
      </c>
      <c r="P5" s="10" t="s">
        <v>65</v>
      </c>
      <c r="Q5" s="10" t="s">
        <v>88</v>
      </c>
      <c r="R5" s="10" t="s">
        <v>105</v>
      </c>
      <c r="S5" s="10" t="s">
        <v>90</v>
      </c>
      <c r="T5" s="10" t="s">
        <v>121</v>
      </c>
      <c r="U5" s="10" t="n">
        <v>2</v>
      </c>
      <c r="V5" s="10" t="s">
        <v>122</v>
      </c>
      <c r="W5" s="10" t="s">
        <v>108</v>
      </c>
      <c r="X5" s="10" t="n">
        <v>1</v>
      </c>
      <c r="Y5" s="10" t="s">
        <v>123</v>
      </c>
      <c r="Z5" s="10" t="s">
        <v>69</v>
      </c>
      <c r="AA5" s="10" t="s">
        <v>73</v>
      </c>
      <c r="AB5" s="10" t="s">
        <v>72</v>
      </c>
      <c r="AC5" s="10" t="s">
        <v>74</v>
      </c>
      <c r="AD5" s="10" t="s">
        <v>124</v>
      </c>
      <c r="AE5" s="10" t="s">
        <v>76</v>
      </c>
      <c r="AF5" s="10" t="s">
        <v>125</v>
      </c>
      <c r="AG5" s="10" t="s">
        <v>126</v>
      </c>
      <c r="AH5" s="10" t="s">
        <v>127</v>
      </c>
    </row>
    <row r="6" customFormat="false" ht="23.85" hidden="false" customHeight="false" outlineLevel="0" collapsed="false">
      <c r="A6" s="10" t="s">
        <v>128</v>
      </c>
      <c r="B6" s="10" t="s">
        <v>129</v>
      </c>
      <c r="C6" s="10" t="s">
        <v>130</v>
      </c>
      <c r="D6" s="10" t="s">
        <v>131</v>
      </c>
      <c r="E6" s="10" t="s">
        <v>101</v>
      </c>
      <c r="F6" s="10" t="s">
        <v>61</v>
      </c>
      <c r="G6" s="10" t="s">
        <v>76</v>
      </c>
      <c r="H6" s="10" t="n">
        <v>2</v>
      </c>
      <c r="I6" s="10" t="s">
        <v>132</v>
      </c>
      <c r="J6" s="10" t="n">
        <v>1</v>
      </c>
      <c r="K6" s="10" t="s">
        <v>133</v>
      </c>
      <c r="L6" s="10" t="n">
        <v>1</v>
      </c>
      <c r="M6" s="10" t="n">
        <v>0</v>
      </c>
      <c r="N6" s="10" t="n">
        <v>2</v>
      </c>
      <c r="O6" s="10" t="n">
        <v>0</v>
      </c>
      <c r="P6" s="10" t="s">
        <v>87</v>
      </c>
      <c r="Q6" s="10" t="s">
        <v>88</v>
      </c>
      <c r="R6" s="10" t="s">
        <v>87</v>
      </c>
      <c r="S6" s="10" t="s">
        <v>134</v>
      </c>
      <c r="T6" s="10" t="s">
        <v>69</v>
      </c>
      <c r="U6" s="10" t="n">
        <v>0</v>
      </c>
      <c r="V6" s="10" t="s">
        <v>70</v>
      </c>
      <c r="W6" s="10" t="s">
        <v>69</v>
      </c>
      <c r="X6" s="10" t="n">
        <v>0</v>
      </c>
      <c r="Y6" s="10" t="s">
        <v>69</v>
      </c>
      <c r="Z6" s="10" t="s">
        <v>69</v>
      </c>
      <c r="AA6" s="10" t="s">
        <v>110</v>
      </c>
      <c r="AB6" s="10" t="s">
        <v>70</v>
      </c>
      <c r="AC6" s="10" t="s">
        <v>94</v>
      </c>
      <c r="AD6" s="10" t="s">
        <v>95</v>
      </c>
      <c r="AE6" s="10" t="s">
        <v>62</v>
      </c>
      <c r="AF6" s="10" t="s">
        <v>77</v>
      </c>
      <c r="AG6" s="10" t="s">
        <v>113</v>
      </c>
      <c r="AH6" s="10" t="s">
        <v>135</v>
      </c>
    </row>
    <row r="7" customFormat="false" ht="57.45" hidden="false" customHeight="false" outlineLevel="0" collapsed="false">
      <c r="A7" s="10" t="s">
        <v>136</v>
      </c>
      <c r="B7" s="10" t="s">
        <v>137</v>
      </c>
      <c r="C7" s="10" t="s">
        <v>138</v>
      </c>
      <c r="D7" s="10" t="s">
        <v>139</v>
      </c>
      <c r="E7" s="10" t="s">
        <v>60</v>
      </c>
      <c r="F7" s="10" t="s">
        <v>61</v>
      </c>
      <c r="G7" s="10" t="s">
        <v>62</v>
      </c>
      <c r="H7" s="10" t="n">
        <v>0</v>
      </c>
      <c r="I7" s="10" t="s">
        <v>140</v>
      </c>
      <c r="J7" s="10" t="n">
        <v>3</v>
      </c>
      <c r="K7" s="10" t="s">
        <v>141</v>
      </c>
      <c r="L7" s="10" t="n">
        <v>3</v>
      </c>
      <c r="M7" s="10" t="n">
        <v>1</v>
      </c>
      <c r="N7" s="10" t="n">
        <v>3</v>
      </c>
      <c r="O7" s="10" t="n">
        <v>3</v>
      </c>
      <c r="P7" s="10" t="s">
        <v>142</v>
      </c>
      <c r="Q7" s="10" t="s">
        <v>143</v>
      </c>
      <c r="R7" s="10" t="s">
        <v>144</v>
      </c>
      <c r="S7" s="10" t="s">
        <v>145</v>
      </c>
      <c r="T7" s="10" t="s">
        <v>146</v>
      </c>
      <c r="U7" s="10" t="n">
        <v>2</v>
      </c>
      <c r="V7" s="10" t="s">
        <v>122</v>
      </c>
      <c r="W7" s="10" t="s">
        <v>108</v>
      </c>
      <c r="X7" s="10" t="n">
        <v>1</v>
      </c>
      <c r="Y7" s="10" t="s">
        <v>147</v>
      </c>
      <c r="Z7" s="10" t="s">
        <v>69</v>
      </c>
      <c r="AA7" s="10" t="s">
        <v>73</v>
      </c>
      <c r="AB7" s="10" t="s">
        <v>72</v>
      </c>
      <c r="AC7" s="10" t="s">
        <v>74</v>
      </c>
      <c r="AD7" s="10" t="s">
        <v>148</v>
      </c>
      <c r="AE7" s="10" t="s">
        <v>76</v>
      </c>
      <c r="AF7" s="10" t="s">
        <v>77</v>
      </c>
      <c r="AG7" s="10" t="s">
        <v>149</v>
      </c>
      <c r="AH7" s="10" t="s">
        <v>150</v>
      </c>
    </row>
    <row r="8" customFormat="false" ht="46.25" hidden="false" customHeight="false" outlineLevel="0" collapsed="false">
      <c r="A8" s="10" t="s">
        <v>151</v>
      </c>
      <c r="B8" s="10" t="s">
        <v>152</v>
      </c>
      <c r="C8" s="10" t="s">
        <v>153</v>
      </c>
      <c r="D8" s="10" t="s">
        <v>154</v>
      </c>
      <c r="E8" s="10" t="s">
        <v>60</v>
      </c>
      <c r="F8" s="10" t="s">
        <v>61</v>
      </c>
      <c r="G8" s="10" t="s">
        <v>112</v>
      </c>
      <c r="H8" s="10" t="n">
        <v>1</v>
      </c>
      <c r="I8" s="10" t="s">
        <v>155</v>
      </c>
      <c r="J8" s="10" t="n">
        <v>2</v>
      </c>
      <c r="K8" s="10" t="s">
        <v>156</v>
      </c>
      <c r="L8" s="10" t="n">
        <v>1</v>
      </c>
      <c r="M8" s="10" t="n">
        <v>1</v>
      </c>
      <c r="N8" s="10" t="n">
        <v>0</v>
      </c>
      <c r="O8" s="10" t="n">
        <v>1</v>
      </c>
      <c r="P8" s="10" t="s">
        <v>65</v>
      </c>
      <c r="Q8" s="10" t="s">
        <v>157</v>
      </c>
      <c r="R8" s="10" t="s">
        <v>105</v>
      </c>
      <c r="S8" s="10" t="s">
        <v>158</v>
      </c>
      <c r="T8" s="10" t="s">
        <v>159</v>
      </c>
      <c r="U8" s="10" t="n">
        <v>0</v>
      </c>
      <c r="V8" s="10" t="s">
        <v>70</v>
      </c>
      <c r="W8" s="10" t="s">
        <v>160</v>
      </c>
      <c r="X8" s="10" t="n">
        <v>1</v>
      </c>
      <c r="Y8" s="10" t="s">
        <v>161</v>
      </c>
      <c r="Z8" s="10" t="s">
        <v>69</v>
      </c>
      <c r="AA8" s="10" t="s">
        <v>72</v>
      </c>
      <c r="AB8" s="10" t="s">
        <v>70</v>
      </c>
      <c r="AC8" s="10" t="s">
        <v>94</v>
      </c>
      <c r="AD8" s="10" t="s">
        <v>95</v>
      </c>
      <c r="AE8" s="10" t="s">
        <v>62</v>
      </c>
      <c r="AF8" s="10" t="s">
        <v>77</v>
      </c>
      <c r="AG8" s="10" t="s">
        <v>162</v>
      </c>
      <c r="AH8" s="10" t="s">
        <v>163</v>
      </c>
    </row>
    <row r="9" customFormat="false" ht="258.95" hidden="false" customHeight="false" outlineLevel="0" collapsed="false">
      <c r="A9" s="10" t="s">
        <v>164</v>
      </c>
      <c r="B9" s="10" t="s">
        <v>165</v>
      </c>
      <c r="C9" s="10" t="s">
        <v>166</v>
      </c>
      <c r="D9" s="10" t="s">
        <v>167</v>
      </c>
      <c r="E9" s="10" t="s">
        <v>60</v>
      </c>
      <c r="F9" s="10" t="s">
        <v>84</v>
      </c>
      <c r="G9" s="10" t="s">
        <v>62</v>
      </c>
      <c r="H9" s="10" t="n">
        <v>1</v>
      </c>
      <c r="I9" s="10" t="s">
        <v>85</v>
      </c>
      <c r="J9" s="10" t="n">
        <v>3</v>
      </c>
      <c r="K9" s="10" t="s">
        <v>168</v>
      </c>
      <c r="L9" s="10" t="n">
        <v>3</v>
      </c>
      <c r="M9" s="10" t="n">
        <v>1</v>
      </c>
      <c r="N9" s="10" t="n">
        <v>3</v>
      </c>
      <c r="O9" s="10" t="n">
        <v>3</v>
      </c>
      <c r="P9" s="10" t="s">
        <v>65</v>
      </c>
      <c r="Q9" s="10" t="s">
        <v>169</v>
      </c>
      <c r="R9" s="10" t="s">
        <v>89</v>
      </c>
      <c r="S9" s="10" t="s">
        <v>170</v>
      </c>
      <c r="T9" s="10" t="s">
        <v>91</v>
      </c>
      <c r="U9" s="10" t="n">
        <v>0</v>
      </c>
      <c r="V9" s="10" t="s">
        <v>70</v>
      </c>
      <c r="W9" s="10" t="s">
        <v>171</v>
      </c>
      <c r="X9" s="10" t="n">
        <v>2</v>
      </c>
      <c r="Y9" s="10" t="s">
        <v>172</v>
      </c>
      <c r="Z9" s="10" t="s">
        <v>173</v>
      </c>
      <c r="AA9" s="10" t="s">
        <v>73</v>
      </c>
      <c r="AB9" s="10" t="s">
        <v>72</v>
      </c>
      <c r="AC9" s="10" t="s">
        <v>74</v>
      </c>
      <c r="AD9" s="10" t="s">
        <v>174</v>
      </c>
      <c r="AE9" s="10" t="s">
        <v>112</v>
      </c>
      <c r="AF9" s="10" t="s">
        <v>77</v>
      </c>
      <c r="AG9" s="10" t="s">
        <v>126</v>
      </c>
      <c r="AH9" s="10" t="s">
        <v>175</v>
      </c>
    </row>
    <row r="10" customFormat="false" ht="135.8" hidden="false" customHeight="false" outlineLevel="0" collapsed="false">
      <c r="A10" s="10" t="s">
        <v>176</v>
      </c>
      <c r="B10" s="10" t="s">
        <v>177</v>
      </c>
      <c r="C10" s="10" t="s">
        <v>99</v>
      </c>
      <c r="D10" s="10" t="s">
        <v>178</v>
      </c>
      <c r="E10" s="10" t="s">
        <v>101</v>
      </c>
      <c r="F10" s="10" t="s">
        <v>61</v>
      </c>
      <c r="G10" s="10" t="s">
        <v>76</v>
      </c>
      <c r="H10" s="10" t="n">
        <v>1</v>
      </c>
      <c r="I10" s="10" t="s">
        <v>179</v>
      </c>
      <c r="J10" s="10" t="n">
        <v>2</v>
      </c>
      <c r="K10" s="10" t="s">
        <v>180</v>
      </c>
      <c r="L10" s="10" t="n">
        <v>1</v>
      </c>
      <c r="M10" s="10" t="n">
        <v>1</v>
      </c>
      <c r="N10" s="10" t="n">
        <v>0</v>
      </c>
      <c r="O10" s="10" t="n">
        <v>0</v>
      </c>
      <c r="P10" s="10" t="s">
        <v>65</v>
      </c>
      <c r="Q10" s="10" t="s">
        <v>69</v>
      </c>
      <c r="R10" s="10" t="s">
        <v>87</v>
      </c>
      <c r="S10" s="10" t="s">
        <v>69</v>
      </c>
      <c r="T10" s="10" t="s">
        <v>69</v>
      </c>
      <c r="U10" s="10" t="n">
        <v>0</v>
      </c>
      <c r="V10" s="10" t="s">
        <v>70</v>
      </c>
      <c r="W10" s="10" t="s">
        <v>69</v>
      </c>
      <c r="X10" s="10" t="n">
        <v>1</v>
      </c>
      <c r="Y10" s="10" t="s">
        <v>181</v>
      </c>
      <c r="Z10" s="10" t="s">
        <v>69</v>
      </c>
      <c r="AA10" s="10" t="s">
        <v>72</v>
      </c>
      <c r="AB10" s="10" t="s">
        <v>70</v>
      </c>
      <c r="AC10" s="10" t="s">
        <v>94</v>
      </c>
      <c r="AD10" s="10" t="s">
        <v>95</v>
      </c>
      <c r="AE10" s="10" t="s">
        <v>62</v>
      </c>
      <c r="AF10" s="10" t="s">
        <v>77</v>
      </c>
      <c r="AG10" s="10" t="s">
        <v>162</v>
      </c>
      <c r="AH10" s="10" t="s">
        <v>182</v>
      </c>
    </row>
    <row r="11" customFormat="false" ht="225.35" hidden="false" customHeight="false" outlineLevel="0" collapsed="false">
      <c r="A11" s="10" t="s">
        <v>183</v>
      </c>
      <c r="B11" s="10" t="s">
        <v>184</v>
      </c>
      <c r="C11" s="10" t="s">
        <v>185</v>
      </c>
      <c r="D11" s="10" t="s">
        <v>186</v>
      </c>
      <c r="E11" s="10" t="s">
        <v>101</v>
      </c>
      <c r="F11" s="10" t="s">
        <v>187</v>
      </c>
      <c r="G11" s="10" t="s">
        <v>76</v>
      </c>
      <c r="H11" s="10" t="n">
        <v>3</v>
      </c>
      <c r="I11" s="10" t="s">
        <v>188</v>
      </c>
      <c r="J11" s="10" t="n">
        <v>2</v>
      </c>
      <c r="K11" s="10" t="s">
        <v>189</v>
      </c>
      <c r="L11" s="10" t="n">
        <v>1</v>
      </c>
      <c r="M11" s="10" t="n">
        <v>1</v>
      </c>
      <c r="N11" s="10" t="n">
        <v>0</v>
      </c>
      <c r="O11" s="10" t="n">
        <v>1</v>
      </c>
      <c r="P11" s="10" t="s">
        <v>190</v>
      </c>
      <c r="Q11" s="10" t="s">
        <v>69</v>
      </c>
      <c r="R11" s="10" t="s">
        <v>105</v>
      </c>
      <c r="S11" s="10" t="s">
        <v>69</v>
      </c>
      <c r="T11" s="10" t="s">
        <v>121</v>
      </c>
      <c r="U11" s="10" t="n">
        <v>0</v>
      </c>
      <c r="V11" s="10" t="s">
        <v>70</v>
      </c>
      <c r="W11" s="10" t="s">
        <v>69</v>
      </c>
      <c r="X11" s="10" t="n">
        <v>1</v>
      </c>
      <c r="Y11" s="10" t="s">
        <v>191</v>
      </c>
      <c r="Z11" s="10" t="s">
        <v>69</v>
      </c>
      <c r="AA11" s="10" t="s">
        <v>110</v>
      </c>
      <c r="AB11" s="10" t="s">
        <v>72</v>
      </c>
      <c r="AC11" s="10" t="s">
        <v>94</v>
      </c>
      <c r="AD11" s="10" t="s">
        <v>95</v>
      </c>
      <c r="AE11" s="10" t="s">
        <v>62</v>
      </c>
      <c r="AF11" s="10" t="s">
        <v>77</v>
      </c>
      <c r="AG11" s="10" t="s">
        <v>78</v>
      </c>
      <c r="AH11" s="10" t="s">
        <v>192</v>
      </c>
    </row>
    <row r="12" customFormat="false" ht="91" hidden="false" customHeight="false" outlineLevel="0" collapsed="false">
      <c r="A12" s="10" t="s">
        <v>193</v>
      </c>
      <c r="B12" s="10" t="s">
        <v>194</v>
      </c>
      <c r="C12" s="10" t="s">
        <v>130</v>
      </c>
      <c r="D12" s="10" t="s">
        <v>195</v>
      </c>
      <c r="E12" s="10" t="s">
        <v>101</v>
      </c>
      <c r="F12" s="10" t="s">
        <v>61</v>
      </c>
      <c r="G12" s="10" t="s">
        <v>62</v>
      </c>
      <c r="H12" s="10" t="n">
        <v>1</v>
      </c>
      <c r="I12" s="10" t="s">
        <v>179</v>
      </c>
      <c r="J12" s="10" t="n">
        <v>2</v>
      </c>
      <c r="K12" s="10" t="s">
        <v>196</v>
      </c>
      <c r="L12" s="10" t="n">
        <v>2</v>
      </c>
      <c r="M12" s="10" t="n">
        <v>1</v>
      </c>
      <c r="N12" s="10" t="n">
        <v>1</v>
      </c>
      <c r="O12" s="10" t="n">
        <v>1</v>
      </c>
      <c r="P12" s="10" t="s">
        <v>65</v>
      </c>
      <c r="Q12" s="10" t="s">
        <v>197</v>
      </c>
      <c r="R12" s="10" t="s">
        <v>105</v>
      </c>
      <c r="S12" s="10" t="s">
        <v>198</v>
      </c>
      <c r="T12" s="10" t="s">
        <v>121</v>
      </c>
      <c r="U12" s="10" t="n">
        <v>0</v>
      </c>
      <c r="V12" s="10" t="s">
        <v>70</v>
      </c>
      <c r="W12" s="10" t="s">
        <v>69</v>
      </c>
      <c r="X12" s="10" t="n">
        <v>2</v>
      </c>
      <c r="Y12" s="10" t="s">
        <v>199</v>
      </c>
      <c r="Z12" s="10" t="s">
        <v>200</v>
      </c>
      <c r="AA12" s="10" t="s">
        <v>72</v>
      </c>
      <c r="AB12" s="10" t="s">
        <v>73</v>
      </c>
      <c r="AC12" s="10" t="s">
        <v>74</v>
      </c>
      <c r="AD12" s="10" t="s">
        <v>75</v>
      </c>
      <c r="AE12" s="10" t="s">
        <v>76</v>
      </c>
      <c r="AF12" s="10" t="s">
        <v>77</v>
      </c>
      <c r="AG12" s="10" t="s">
        <v>149</v>
      </c>
      <c r="AH12" s="10" t="s">
        <v>201</v>
      </c>
    </row>
    <row r="13" customFormat="false" ht="68.65" hidden="false" customHeight="false" outlineLevel="0" collapsed="false">
      <c r="A13" s="10" t="s">
        <v>202</v>
      </c>
      <c r="B13" s="10" t="s">
        <v>203</v>
      </c>
      <c r="C13" s="10" t="s">
        <v>166</v>
      </c>
      <c r="D13" s="10" t="s">
        <v>204</v>
      </c>
      <c r="E13" s="10" t="s">
        <v>101</v>
      </c>
      <c r="F13" s="10" t="s">
        <v>205</v>
      </c>
      <c r="G13" s="10" t="s">
        <v>76</v>
      </c>
      <c r="H13" s="10" t="n">
        <v>2</v>
      </c>
      <c r="I13" s="10" t="s">
        <v>206</v>
      </c>
      <c r="J13" s="10" t="n">
        <v>1</v>
      </c>
      <c r="K13" s="10" t="s">
        <v>207</v>
      </c>
      <c r="L13" s="10" t="n">
        <v>1</v>
      </c>
      <c r="M13" s="10" t="n">
        <v>0</v>
      </c>
      <c r="N13" s="10" t="n">
        <v>0</v>
      </c>
      <c r="O13" s="10" t="n">
        <v>1</v>
      </c>
      <c r="P13" s="10" t="s">
        <v>87</v>
      </c>
      <c r="Q13" s="10" t="s">
        <v>104</v>
      </c>
      <c r="R13" s="10" t="s">
        <v>67</v>
      </c>
      <c r="S13" s="10" t="s">
        <v>208</v>
      </c>
      <c r="T13" s="10" t="s">
        <v>69</v>
      </c>
      <c r="U13" s="10" t="n">
        <v>0</v>
      </c>
      <c r="V13" s="10" t="s">
        <v>70</v>
      </c>
      <c r="W13" s="10" t="s">
        <v>69</v>
      </c>
      <c r="X13" s="10" t="n">
        <v>2</v>
      </c>
      <c r="Y13" s="10" t="s">
        <v>209</v>
      </c>
      <c r="Z13" s="10" t="s">
        <v>210</v>
      </c>
      <c r="AA13" s="10" t="s">
        <v>110</v>
      </c>
      <c r="AB13" s="10" t="s">
        <v>70</v>
      </c>
      <c r="AC13" s="10" t="s">
        <v>94</v>
      </c>
      <c r="AD13" s="10" t="s">
        <v>95</v>
      </c>
      <c r="AE13" s="10" t="s">
        <v>62</v>
      </c>
      <c r="AF13" s="10" t="s">
        <v>77</v>
      </c>
      <c r="AG13" s="10" t="s">
        <v>211</v>
      </c>
      <c r="AH13" s="10" t="s">
        <v>212</v>
      </c>
    </row>
    <row r="14" customFormat="false" ht="46.25" hidden="false" customHeight="false" outlineLevel="0" collapsed="false">
      <c r="A14" s="10" t="s">
        <v>213</v>
      </c>
      <c r="B14" s="10" t="s">
        <v>214</v>
      </c>
      <c r="C14" s="10" t="s">
        <v>215</v>
      </c>
      <c r="D14" s="10" t="s">
        <v>216</v>
      </c>
      <c r="E14" s="10" t="s">
        <v>101</v>
      </c>
      <c r="F14" s="10" t="s">
        <v>61</v>
      </c>
      <c r="G14" s="10" t="s">
        <v>112</v>
      </c>
      <c r="H14" s="10" t="n">
        <v>2</v>
      </c>
      <c r="I14" s="10" t="s">
        <v>217</v>
      </c>
      <c r="J14" s="10" t="n">
        <v>3</v>
      </c>
      <c r="K14" s="10" t="s">
        <v>218</v>
      </c>
      <c r="L14" s="10" t="n">
        <v>1</v>
      </c>
      <c r="M14" s="10" t="n">
        <v>0</v>
      </c>
      <c r="N14" s="10" t="n">
        <v>0</v>
      </c>
      <c r="O14" s="10" t="n">
        <v>1</v>
      </c>
      <c r="P14" s="10" t="s">
        <v>87</v>
      </c>
      <c r="Q14" s="10" t="s">
        <v>219</v>
      </c>
      <c r="R14" s="10" t="s">
        <v>67</v>
      </c>
      <c r="S14" s="10" t="s">
        <v>220</v>
      </c>
      <c r="T14" s="10" t="s">
        <v>69</v>
      </c>
      <c r="U14" s="10" t="n">
        <v>0</v>
      </c>
      <c r="V14" s="10" t="s">
        <v>70</v>
      </c>
      <c r="W14" s="10" t="s">
        <v>69</v>
      </c>
      <c r="X14" s="10" t="n">
        <v>2</v>
      </c>
      <c r="Y14" s="10" t="s">
        <v>221</v>
      </c>
      <c r="Z14" s="10" t="s">
        <v>222</v>
      </c>
      <c r="AA14" s="10" t="s">
        <v>72</v>
      </c>
      <c r="AB14" s="10" t="s">
        <v>110</v>
      </c>
      <c r="AC14" s="10" t="s">
        <v>94</v>
      </c>
      <c r="AD14" s="10" t="s">
        <v>95</v>
      </c>
      <c r="AE14" s="10" t="s">
        <v>62</v>
      </c>
      <c r="AF14" s="10" t="s">
        <v>77</v>
      </c>
      <c r="AG14" s="10" t="s">
        <v>149</v>
      </c>
      <c r="AH14" s="10" t="s">
        <v>223</v>
      </c>
    </row>
    <row r="15" customFormat="false" ht="124.6" hidden="false" customHeight="false" outlineLevel="0" collapsed="false">
      <c r="A15" s="10" t="s">
        <v>224</v>
      </c>
      <c r="B15" s="10" t="s">
        <v>225</v>
      </c>
      <c r="C15" s="10" t="s">
        <v>226</v>
      </c>
      <c r="D15" s="10" t="s">
        <v>227</v>
      </c>
      <c r="E15" s="10" t="s">
        <v>101</v>
      </c>
      <c r="F15" s="10" t="s">
        <v>61</v>
      </c>
      <c r="G15" s="10" t="s">
        <v>62</v>
      </c>
      <c r="H15" s="10" t="n">
        <v>0</v>
      </c>
      <c r="I15" s="10" t="s">
        <v>140</v>
      </c>
      <c r="J15" s="10" t="n">
        <v>2</v>
      </c>
      <c r="K15" s="10" t="s">
        <v>228</v>
      </c>
      <c r="L15" s="10" t="n">
        <v>1</v>
      </c>
      <c r="M15" s="10" t="n">
        <v>2</v>
      </c>
      <c r="N15" s="10" t="n">
        <v>0</v>
      </c>
      <c r="O15" s="10" t="n">
        <v>1</v>
      </c>
      <c r="P15" s="10" t="s">
        <v>229</v>
      </c>
      <c r="Q15" s="10" t="s">
        <v>230</v>
      </c>
      <c r="R15" s="10" t="s">
        <v>67</v>
      </c>
      <c r="S15" s="10" t="s">
        <v>231</v>
      </c>
      <c r="T15" s="10" t="s">
        <v>69</v>
      </c>
      <c r="U15" s="10" t="n">
        <v>0</v>
      </c>
      <c r="V15" s="10" t="s">
        <v>70</v>
      </c>
      <c r="W15" s="10" t="s">
        <v>69</v>
      </c>
      <c r="X15" s="10" t="n">
        <v>2</v>
      </c>
      <c r="Y15" s="10" t="s">
        <v>232</v>
      </c>
      <c r="Z15" s="10" t="s">
        <v>233</v>
      </c>
      <c r="AA15" s="10" t="s">
        <v>72</v>
      </c>
      <c r="AB15" s="10" t="s">
        <v>70</v>
      </c>
      <c r="AC15" s="10" t="s">
        <v>94</v>
      </c>
      <c r="AD15" s="10" t="s">
        <v>95</v>
      </c>
      <c r="AE15" s="10" t="s">
        <v>62</v>
      </c>
      <c r="AF15" s="10" t="s">
        <v>77</v>
      </c>
      <c r="AG15" s="10" t="s">
        <v>149</v>
      </c>
      <c r="AH15" s="10" t="s">
        <v>234</v>
      </c>
    </row>
    <row r="16" customFormat="false" ht="370.85" hidden="false" customHeight="false" outlineLevel="0" collapsed="false">
      <c r="A16" s="10" t="s">
        <v>235</v>
      </c>
      <c r="B16" s="10" t="s">
        <v>236</v>
      </c>
      <c r="C16" s="10" t="s">
        <v>153</v>
      </c>
      <c r="D16" s="10" t="s">
        <v>237</v>
      </c>
      <c r="E16" s="10" t="s">
        <v>60</v>
      </c>
      <c r="F16" s="10" t="s">
        <v>84</v>
      </c>
      <c r="G16" s="10" t="s">
        <v>62</v>
      </c>
      <c r="H16" s="10" t="n">
        <v>1</v>
      </c>
      <c r="I16" s="10" t="s">
        <v>85</v>
      </c>
      <c r="J16" s="10" t="n">
        <v>3</v>
      </c>
      <c r="K16" s="10" t="s">
        <v>238</v>
      </c>
      <c r="L16" s="10" t="n">
        <v>3</v>
      </c>
      <c r="M16" s="10" t="n">
        <v>2</v>
      </c>
      <c r="N16" s="10" t="n">
        <v>3</v>
      </c>
      <c r="O16" s="10" t="n">
        <v>3</v>
      </c>
      <c r="P16" s="10" t="s">
        <v>239</v>
      </c>
      <c r="Q16" s="10" t="s">
        <v>169</v>
      </c>
      <c r="R16" s="10" t="s">
        <v>89</v>
      </c>
      <c r="S16" s="10" t="s">
        <v>170</v>
      </c>
      <c r="T16" s="10" t="s">
        <v>91</v>
      </c>
      <c r="U16" s="10" t="n">
        <v>2</v>
      </c>
      <c r="V16" s="10" t="s">
        <v>92</v>
      </c>
      <c r="W16" s="10" t="s">
        <v>171</v>
      </c>
      <c r="X16" s="10" t="n">
        <v>1</v>
      </c>
      <c r="Y16" s="10" t="s">
        <v>240</v>
      </c>
      <c r="Z16" s="10" t="s">
        <v>69</v>
      </c>
      <c r="AA16" s="10" t="s">
        <v>73</v>
      </c>
      <c r="AB16" s="10" t="s">
        <v>72</v>
      </c>
      <c r="AC16" s="10" t="s">
        <v>74</v>
      </c>
      <c r="AD16" s="10" t="s">
        <v>174</v>
      </c>
      <c r="AE16" s="10" t="s">
        <v>112</v>
      </c>
      <c r="AF16" s="10" t="s">
        <v>77</v>
      </c>
      <c r="AG16" s="10" t="s">
        <v>126</v>
      </c>
      <c r="AH16" s="10" t="s">
        <v>241</v>
      </c>
    </row>
    <row r="17" customFormat="false" ht="102.2" hidden="false" customHeight="false" outlineLevel="0" collapsed="false">
      <c r="A17" s="10" t="s">
        <v>242</v>
      </c>
      <c r="B17" s="10" t="s">
        <v>243</v>
      </c>
      <c r="C17" s="10" t="s">
        <v>244</v>
      </c>
      <c r="D17" s="10" t="s">
        <v>245</v>
      </c>
      <c r="E17" s="10" t="s">
        <v>101</v>
      </c>
      <c r="F17" s="10" t="s">
        <v>246</v>
      </c>
      <c r="G17" s="10" t="s">
        <v>76</v>
      </c>
      <c r="H17" s="10" t="n">
        <v>2</v>
      </c>
      <c r="I17" s="10" t="s">
        <v>247</v>
      </c>
      <c r="J17" s="10" t="n">
        <v>2</v>
      </c>
      <c r="K17" s="10" t="s">
        <v>248</v>
      </c>
      <c r="L17" s="10" t="n">
        <v>1</v>
      </c>
      <c r="M17" s="10" t="n">
        <v>0</v>
      </c>
      <c r="N17" s="10" t="n">
        <v>0</v>
      </c>
      <c r="O17" s="10" t="n">
        <v>0</v>
      </c>
      <c r="P17" s="10" t="s">
        <v>87</v>
      </c>
      <c r="Q17" s="10" t="s">
        <v>104</v>
      </c>
      <c r="R17" s="10" t="s">
        <v>87</v>
      </c>
      <c r="S17" s="10" t="s">
        <v>106</v>
      </c>
      <c r="T17" s="10" t="s">
        <v>69</v>
      </c>
      <c r="U17" s="10" t="n">
        <v>0</v>
      </c>
      <c r="V17" s="10" t="s">
        <v>70</v>
      </c>
      <c r="W17" s="10" t="s">
        <v>69</v>
      </c>
      <c r="X17" s="10" t="n">
        <v>2</v>
      </c>
      <c r="Y17" s="10" t="s">
        <v>249</v>
      </c>
      <c r="Z17" s="10" t="s">
        <v>250</v>
      </c>
      <c r="AA17" s="10" t="s">
        <v>110</v>
      </c>
      <c r="AB17" s="10" t="s">
        <v>72</v>
      </c>
      <c r="AC17" s="10" t="s">
        <v>74</v>
      </c>
      <c r="AD17" s="10" t="s">
        <v>251</v>
      </c>
      <c r="AE17" s="10" t="s">
        <v>112</v>
      </c>
      <c r="AF17" s="10" t="s">
        <v>77</v>
      </c>
      <c r="AG17" s="10" t="s">
        <v>126</v>
      </c>
      <c r="AH17" s="10" t="s">
        <v>252</v>
      </c>
    </row>
    <row r="18" customFormat="false" ht="91" hidden="false" customHeight="false" outlineLevel="0" collapsed="false">
      <c r="A18" s="10" t="s">
        <v>253</v>
      </c>
      <c r="B18" s="10" t="s">
        <v>254</v>
      </c>
      <c r="C18" s="10" t="s">
        <v>244</v>
      </c>
      <c r="D18" s="10" t="s">
        <v>255</v>
      </c>
      <c r="E18" s="10" t="s">
        <v>101</v>
      </c>
      <c r="F18" s="10" t="s">
        <v>84</v>
      </c>
      <c r="G18" s="10" t="s">
        <v>76</v>
      </c>
      <c r="H18" s="10" t="n">
        <v>1</v>
      </c>
      <c r="I18" s="10" t="s">
        <v>85</v>
      </c>
      <c r="J18" s="10" t="n">
        <v>1</v>
      </c>
      <c r="K18" s="10" t="s">
        <v>103</v>
      </c>
      <c r="L18" s="10" t="n">
        <v>2</v>
      </c>
      <c r="M18" s="10" t="n">
        <v>2</v>
      </c>
      <c r="N18" s="10" t="n">
        <v>1</v>
      </c>
      <c r="O18" s="10" t="n">
        <v>1</v>
      </c>
      <c r="P18" s="10" t="s">
        <v>256</v>
      </c>
      <c r="Q18" s="10" t="s">
        <v>257</v>
      </c>
      <c r="R18" s="10" t="s">
        <v>105</v>
      </c>
      <c r="S18" s="10" t="s">
        <v>258</v>
      </c>
      <c r="T18" s="10" t="s">
        <v>121</v>
      </c>
      <c r="U18" s="10" t="n">
        <v>0</v>
      </c>
      <c r="V18" s="10" t="s">
        <v>70</v>
      </c>
      <c r="W18" s="10" t="s">
        <v>69</v>
      </c>
      <c r="X18" s="10" t="n">
        <v>2</v>
      </c>
      <c r="Y18" s="10" t="s">
        <v>259</v>
      </c>
      <c r="Z18" s="10" t="s">
        <v>260</v>
      </c>
      <c r="AA18" s="10" t="s">
        <v>73</v>
      </c>
      <c r="AB18" s="10" t="s">
        <v>70</v>
      </c>
      <c r="AC18" s="10" t="s">
        <v>94</v>
      </c>
      <c r="AD18" s="10" t="s">
        <v>95</v>
      </c>
      <c r="AE18" s="10" t="s">
        <v>62</v>
      </c>
      <c r="AF18" s="10" t="s">
        <v>77</v>
      </c>
      <c r="AG18" s="10" t="s">
        <v>126</v>
      </c>
      <c r="AH18" s="10" t="s">
        <v>261</v>
      </c>
    </row>
    <row r="19" customFormat="false" ht="23.85" hidden="false" customHeight="false" outlineLevel="0" collapsed="false">
      <c r="A19" s="10" t="s">
        <v>262</v>
      </c>
      <c r="B19" s="10" t="s">
        <v>263</v>
      </c>
      <c r="C19" s="10" t="s">
        <v>166</v>
      </c>
      <c r="D19" s="10" t="s">
        <v>264</v>
      </c>
      <c r="E19" s="10" t="s">
        <v>101</v>
      </c>
      <c r="F19" s="10" t="s">
        <v>61</v>
      </c>
      <c r="G19" s="10" t="s">
        <v>112</v>
      </c>
      <c r="H19" s="10" t="n">
        <v>0</v>
      </c>
      <c r="I19" s="10" t="s">
        <v>140</v>
      </c>
      <c r="J19" s="10" t="n">
        <v>2</v>
      </c>
      <c r="K19" s="10" t="s">
        <v>265</v>
      </c>
      <c r="L19" s="10" t="n">
        <v>1</v>
      </c>
      <c r="M19" s="10" t="n">
        <v>0</v>
      </c>
      <c r="N19" s="10" t="n">
        <v>0</v>
      </c>
      <c r="O19" s="10" t="n">
        <v>0</v>
      </c>
      <c r="P19" s="10" t="s">
        <v>87</v>
      </c>
      <c r="Q19" s="10" t="s">
        <v>266</v>
      </c>
      <c r="R19" s="10" t="s">
        <v>87</v>
      </c>
      <c r="S19" s="10" t="s">
        <v>267</v>
      </c>
      <c r="T19" s="10" t="s">
        <v>69</v>
      </c>
      <c r="U19" s="10" t="n">
        <v>0</v>
      </c>
      <c r="V19" s="10" t="s">
        <v>70</v>
      </c>
      <c r="W19" s="10" t="s">
        <v>69</v>
      </c>
      <c r="X19" s="10" t="n">
        <v>1</v>
      </c>
      <c r="Y19" s="10" t="s">
        <v>268</v>
      </c>
      <c r="Z19" s="10" t="s">
        <v>269</v>
      </c>
      <c r="AA19" s="10" t="s">
        <v>72</v>
      </c>
      <c r="AB19" s="10" t="s">
        <v>70</v>
      </c>
      <c r="AC19" s="10" t="s">
        <v>94</v>
      </c>
      <c r="AD19" s="10" t="s">
        <v>95</v>
      </c>
      <c r="AE19" s="10" t="s">
        <v>62</v>
      </c>
      <c r="AF19" s="10" t="s">
        <v>77</v>
      </c>
      <c r="AG19" s="10" t="s">
        <v>113</v>
      </c>
      <c r="AH19" s="10" t="s">
        <v>270</v>
      </c>
    </row>
    <row r="20" customFormat="false" ht="46.25" hidden="false" customHeight="false" outlineLevel="0" collapsed="false">
      <c r="A20" s="10" t="s">
        <v>271</v>
      </c>
      <c r="B20" s="10" t="s">
        <v>272</v>
      </c>
      <c r="C20" s="10" t="s">
        <v>58</v>
      </c>
      <c r="D20" s="10" t="s">
        <v>273</v>
      </c>
      <c r="E20" s="10" t="s">
        <v>101</v>
      </c>
      <c r="F20" s="10" t="s">
        <v>61</v>
      </c>
      <c r="G20" s="10" t="s">
        <v>76</v>
      </c>
      <c r="H20" s="10" t="n">
        <v>1</v>
      </c>
      <c r="I20" s="10" t="s">
        <v>274</v>
      </c>
      <c r="J20" s="10" t="n">
        <v>0</v>
      </c>
      <c r="K20" s="10" t="s">
        <v>275</v>
      </c>
      <c r="L20" s="10" t="n">
        <v>0</v>
      </c>
      <c r="M20" s="10" t="n">
        <v>0</v>
      </c>
      <c r="N20" s="10" t="n">
        <v>0</v>
      </c>
      <c r="O20" s="10" t="n">
        <v>0</v>
      </c>
      <c r="P20" s="10" t="s">
        <v>87</v>
      </c>
      <c r="Q20" s="10" t="s">
        <v>69</v>
      </c>
      <c r="R20" s="10" t="s">
        <v>87</v>
      </c>
      <c r="S20" s="10" t="s">
        <v>69</v>
      </c>
      <c r="T20" s="10" t="s">
        <v>69</v>
      </c>
      <c r="U20" s="10" t="n">
        <v>0</v>
      </c>
      <c r="V20" s="10" t="s">
        <v>70</v>
      </c>
      <c r="W20" s="10" t="s">
        <v>69</v>
      </c>
      <c r="X20" s="10" t="n">
        <v>1</v>
      </c>
      <c r="Y20" s="10" t="s">
        <v>276</v>
      </c>
      <c r="Z20" s="10" t="s">
        <v>69</v>
      </c>
      <c r="AA20" s="10" t="s">
        <v>110</v>
      </c>
      <c r="AB20" s="10" t="s">
        <v>70</v>
      </c>
      <c r="AC20" s="10" t="s">
        <v>94</v>
      </c>
      <c r="AD20" s="10" t="s">
        <v>95</v>
      </c>
      <c r="AE20" s="10" t="s">
        <v>62</v>
      </c>
      <c r="AF20" s="10" t="s">
        <v>277</v>
      </c>
      <c r="AG20" s="10" t="s">
        <v>113</v>
      </c>
      <c r="AH20" s="10" t="s">
        <v>278</v>
      </c>
    </row>
    <row r="21" customFormat="false" ht="23.85" hidden="false" customHeight="false" outlineLevel="0" collapsed="false">
      <c r="A21" s="10" t="s">
        <v>279</v>
      </c>
      <c r="B21" s="10" t="s">
        <v>280</v>
      </c>
      <c r="C21" s="10" t="s">
        <v>281</v>
      </c>
      <c r="D21" s="10" t="s">
        <v>282</v>
      </c>
      <c r="E21" s="10" t="s">
        <v>101</v>
      </c>
      <c r="F21" s="10" t="s">
        <v>61</v>
      </c>
      <c r="G21" s="10" t="s">
        <v>76</v>
      </c>
      <c r="H21" s="10" t="n">
        <v>2</v>
      </c>
      <c r="I21" s="10" t="s">
        <v>283</v>
      </c>
      <c r="J21" s="10" t="n">
        <v>1</v>
      </c>
      <c r="K21" s="10" t="s">
        <v>284</v>
      </c>
      <c r="L21" s="10" t="n">
        <v>1</v>
      </c>
      <c r="M21" s="10" t="n">
        <v>0</v>
      </c>
      <c r="N21" s="10" t="n">
        <v>0</v>
      </c>
      <c r="O21" s="10" t="n">
        <v>0</v>
      </c>
      <c r="P21" s="10" t="s">
        <v>87</v>
      </c>
      <c r="Q21" s="10" t="s">
        <v>285</v>
      </c>
      <c r="R21" s="10" t="s">
        <v>87</v>
      </c>
      <c r="S21" s="10" t="s">
        <v>286</v>
      </c>
      <c r="T21" s="10" t="s">
        <v>69</v>
      </c>
      <c r="U21" s="10" t="n">
        <v>0</v>
      </c>
      <c r="V21" s="10" t="s">
        <v>70</v>
      </c>
      <c r="W21" s="10" t="s">
        <v>69</v>
      </c>
      <c r="X21" s="10" t="n">
        <v>0</v>
      </c>
      <c r="Y21" s="10" t="s">
        <v>69</v>
      </c>
      <c r="Z21" s="10" t="s">
        <v>69</v>
      </c>
      <c r="AA21" s="10" t="s">
        <v>110</v>
      </c>
      <c r="AB21" s="10" t="s">
        <v>70</v>
      </c>
      <c r="AC21" s="10" t="s">
        <v>94</v>
      </c>
      <c r="AD21" s="10" t="s">
        <v>95</v>
      </c>
      <c r="AE21" s="10" t="s">
        <v>62</v>
      </c>
      <c r="AF21" s="10" t="s">
        <v>277</v>
      </c>
      <c r="AG21" s="10" t="s">
        <v>287</v>
      </c>
      <c r="AH21" s="10" t="s">
        <v>288</v>
      </c>
    </row>
    <row r="22" customFormat="false" ht="46.25" hidden="false" customHeight="false" outlineLevel="0" collapsed="false">
      <c r="A22" s="10" t="s">
        <v>289</v>
      </c>
      <c r="B22" s="10" t="s">
        <v>290</v>
      </c>
      <c r="C22" s="10" t="s">
        <v>99</v>
      </c>
      <c r="D22" s="10" t="s">
        <v>291</v>
      </c>
      <c r="E22" s="10" t="s">
        <v>101</v>
      </c>
      <c r="F22" s="10" t="s">
        <v>61</v>
      </c>
      <c r="G22" s="10" t="s">
        <v>76</v>
      </c>
      <c r="H22" s="10" t="n">
        <v>1</v>
      </c>
      <c r="I22" s="10" t="s">
        <v>292</v>
      </c>
      <c r="J22" s="10" t="n">
        <v>0</v>
      </c>
      <c r="K22" s="10" t="s">
        <v>275</v>
      </c>
      <c r="L22" s="10" t="n">
        <v>0</v>
      </c>
      <c r="M22" s="10" t="n">
        <v>0</v>
      </c>
      <c r="N22" s="10" t="n">
        <v>0</v>
      </c>
      <c r="O22" s="10" t="n">
        <v>0</v>
      </c>
      <c r="P22" s="10" t="s">
        <v>87</v>
      </c>
      <c r="Q22" s="10" t="s">
        <v>69</v>
      </c>
      <c r="R22" s="10" t="s">
        <v>87</v>
      </c>
      <c r="S22" s="10" t="s">
        <v>69</v>
      </c>
      <c r="T22" s="10" t="s">
        <v>69</v>
      </c>
      <c r="U22" s="10" t="n">
        <v>0</v>
      </c>
      <c r="V22" s="10" t="s">
        <v>70</v>
      </c>
      <c r="W22" s="10" t="s">
        <v>69</v>
      </c>
      <c r="X22" s="10" t="n">
        <v>1</v>
      </c>
      <c r="Y22" s="10" t="s">
        <v>293</v>
      </c>
      <c r="Z22" s="10" t="s">
        <v>69</v>
      </c>
      <c r="AA22" s="10" t="s">
        <v>110</v>
      </c>
      <c r="AB22" s="10" t="s">
        <v>70</v>
      </c>
      <c r="AC22" s="10" t="s">
        <v>94</v>
      </c>
      <c r="AD22" s="10" t="s">
        <v>95</v>
      </c>
      <c r="AE22" s="10" t="s">
        <v>62</v>
      </c>
      <c r="AF22" s="10" t="s">
        <v>294</v>
      </c>
      <c r="AG22" s="10" t="s">
        <v>295</v>
      </c>
      <c r="AH22" s="10" t="s">
        <v>278</v>
      </c>
    </row>
    <row r="23" customFormat="false" ht="46.25" hidden="false" customHeight="false" outlineLevel="0" collapsed="false">
      <c r="A23" s="10" t="s">
        <v>296</v>
      </c>
      <c r="B23" s="10" t="s">
        <v>297</v>
      </c>
      <c r="C23" s="10" t="s">
        <v>226</v>
      </c>
      <c r="D23" s="10" t="s">
        <v>298</v>
      </c>
      <c r="E23" s="10" t="s">
        <v>101</v>
      </c>
      <c r="F23" s="10" t="s">
        <v>84</v>
      </c>
      <c r="G23" s="10" t="s">
        <v>62</v>
      </c>
      <c r="H23" s="10" t="n">
        <v>2</v>
      </c>
      <c r="I23" s="10" t="s">
        <v>299</v>
      </c>
      <c r="J23" s="10" t="n">
        <v>2</v>
      </c>
      <c r="K23" s="10" t="s">
        <v>300</v>
      </c>
      <c r="L23" s="10" t="n">
        <v>2</v>
      </c>
      <c r="M23" s="10" t="n">
        <v>1</v>
      </c>
      <c r="N23" s="10" t="n">
        <v>2</v>
      </c>
      <c r="O23" s="10" t="n">
        <v>1</v>
      </c>
      <c r="P23" s="10" t="s">
        <v>65</v>
      </c>
      <c r="Q23" s="10" t="s">
        <v>88</v>
      </c>
      <c r="R23" s="10" t="s">
        <v>105</v>
      </c>
      <c r="S23" s="10" t="s">
        <v>90</v>
      </c>
      <c r="T23" s="10" t="s">
        <v>121</v>
      </c>
      <c r="U23" s="10" t="n">
        <v>2</v>
      </c>
      <c r="V23" s="10" t="s">
        <v>92</v>
      </c>
      <c r="W23" s="10" t="s">
        <v>171</v>
      </c>
      <c r="X23" s="10" t="n">
        <v>1</v>
      </c>
      <c r="Y23" s="10" t="s">
        <v>301</v>
      </c>
      <c r="Z23" s="10" t="s">
        <v>69</v>
      </c>
      <c r="AA23" s="10" t="s">
        <v>110</v>
      </c>
      <c r="AB23" s="10" t="s">
        <v>72</v>
      </c>
      <c r="AC23" s="10" t="s">
        <v>74</v>
      </c>
      <c r="AD23" s="10" t="s">
        <v>302</v>
      </c>
      <c r="AE23" s="10" t="s">
        <v>76</v>
      </c>
      <c r="AF23" s="10" t="s">
        <v>77</v>
      </c>
      <c r="AG23" s="10" t="s">
        <v>126</v>
      </c>
      <c r="AH23" s="10" t="s">
        <v>303</v>
      </c>
    </row>
    <row r="24" customFormat="false" ht="102.2" hidden="false" customHeight="false" outlineLevel="0" collapsed="false">
      <c r="A24" s="10" t="s">
        <v>304</v>
      </c>
      <c r="B24" s="10" t="s">
        <v>305</v>
      </c>
      <c r="C24" s="10" t="s">
        <v>82</v>
      </c>
      <c r="D24" s="10" t="s">
        <v>306</v>
      </c>
      <c r="E24" s="10" t="s">
        <v>101</v>
      </c>
      <c r="F24" s="10" t="s">
        <v>61</v>
      </c>
      <c r="G24" s="10" t="s">
        <v>76</v>
      </c>
      <c r="H24" s="10" t="n">
        <v>0</v>
      </c>
      <c r="I24" s="10" t="s">
        <v>140</v>
      </c>
      <c r="J24" s="10" t="n">
        <v>0</v>
      </c>
      <c r="K24" s="10" t="s">
        <v>275</v>
      </c>
      <c r="L24" s="10" t="n">
        <v>0</v>
      </c>
      <c r="M24" s="10" t="n">
        <v>0</v>
      </c>
      <c r="N24" s="10" t="n">
        <v>0</v>
      </c>
      <c r="O24" s="10" t="n">
        <v>0</v>
      </c>
      <c r="P24" s="10" t="s">
        <v>87</v>
      </c>
      <c r="Q24" s="10" t="s">
        <v>69</v>
      </c>
      <c r="R24" s="10" t="s">
        <v>87</v>
      </c>
      <c r="S24" s="10" t="s">
        <v>69</v>
      </c>
      <c r="T24" s="10" t="s">
        <v>69</v>
      </c>
      <c r="U24" s="10" t="n">
        <v>0</v>
      </c>
      <c r="V24" s="10" t="s">
        <v>70</v>
      </c>
      <c r="W24" s="10" t="s">
        <v>69</v>
      </c>
      <c r="X24" s="10" t="n">
        <v>1</v>
      </c>
      <c r="Y24" s="10" t="s">
        <v>307</v>
      </c>
      <c r="Z24" s="10" t="s">
        <v>69</v>
      </c>
      <c r="AA24" s="10" t="s">
        <v>110</v>
      </c>
      <c r="AB24" s="10" t="s">
        <v>70</v>
      </c>
      <c r="AC24" s="10" t="s">
        <v>74</v>
      </c>
      <c r="AD24" s="10" t="s">
        <v>308</v>
      </c>
      <c r="AE24" s="10" t="s">
        <v>76</v>
      </c>
      <c r="AF24" s="10" t="s">
        <v>77</v>
      </c>
      <c r="AG24" s="10" t="s">
        <v>113</v>
      </c>
      <c r="AH24" s="10" t="s">
        <v>309</v>
      </c>
    </row>
    <row r="25" customFormat="false" ht="326.1" hidden="false" customHeight="false" outlineLevel="0" collapsed="false">
      <c r="A25" s="10" t="s">
        <v>310</v>
      </c>
      <c r="B25" s="10" t="s">
        <v>311</v>
      </c>
      <c r="C25" s="10" t="s">
        <v>312</v>
      </c>
      <c r="D25" s="10" t="s">
        <v>313</v>
      </c>
      <c r="E25" s="10" t="s">
        <v>60</v>
      </c>
      <c r="F25" s="10" t="s">
        <v>61</v>
      </c>
      <c r="G25" s="10" t="s">
        <v>62</v>
      </c>
      <c r="H25" s="10" t="n">
        <v>1</v>
      </c>
      <c r="I25" s="10" t="s">
        <v>314</v>
      </c>
      <c r="J25" s="10" t="n">
        <v>2</v>
      </c>
      <c r="K25" s="10" t="s">
        <v>86</v>
      </c>
      <c r="L25" s="10" t="n">
        <v>3</v>
      </c>
      <c r="M25" s="10" t="n">
        <v>2</v>
      </c>
      <c r="N25" s="10" t="n">
        <v>2</v>
      </c>
      <c r="O25" s="10" t="n">
        <v>3</v>
      </c>
      <c r="P25" s="10" t="s">
        <v>315</v>
      </c>
      <c r="Q25" s="10" t="s">
        <v>88</v>
      </c>
      <c r="R25" s="10" t="s">
        <v>89</v>
      </c>
      <c r="S25" s="10" t="s">
        <v>90</v>
      </c>
      <c r="T25" s="10" t="s">
        <v>91</v>
      </c>
      <c r="U25" s="10" t="n">
        <v>2</v>
      </c>
      <c r="V25" s="10" t="s">
        <v>316</v>
      </c>
      <c r="W25" s="10" t="s">
        <v>108</v>
      </c>
      <c r="X25" s="10" t="n">
        <v>1</v>
      </c>
      <c r="Y25" s="10" t="s">
        <v>317</v>
      </c>
      <c r="Z25" s="10" t="s">
        <v>69</v>
      </c>
      <c r="AA25" s="10" t="s">
        <v>73</v>
      </c>
      <c r="AB25" s="10" t="s">
        <v>72</v>
      </c>
      <c r="AC25" s="10" t="s">
        <v>94</v>
      </c>
      <c r="AD25" s="10" t="s">
        <v>95</v>
      </c>
      <c r="AE25" s="10" t="s">
        <v>62</v>
      </c>
      <c r="AF25" s="10" t="s">
        <v>77</v>
      </c>
      <c r="AG25" s="10" t="s">
        <v>149</v>
      </c>
      <c r="AH25" s="10" t="s">
        <v>318</v>
      </c>
    </row>
    <row r="26" customFormat="false" ht="57.45" hidden="false" customHeight="false" outlineLevel="0" collapsed="false">
      <c r="A26" s="10" t="s">
        <v>319</v>
      </c>
      <c r="B26" s="10" t="s">
        <v>320</v>
      </c>
      <c r="C26" s="10" t="s">
        <v>321</v>
      </c>
      <c r="D26" s="10" t="s">
        <v>322</v>
      </c>
      <c r="E26" s="10" t="s">
        <v>60</v>
      </c>
      <c r="F26" s="10" t="s">
        <v>323</v>
      </c>
      <c r="G26" s="10" t="s">
        <v>112</v>
      </c>
      <c r="H26" s="10" t="n">
        <v>2</v>
      </c>
      <c r="I26" s="10" t="s">
        <v>324</v>
      </c>
      <c r="J26" s="10" t="n">
        <v>3</v>
      </c>
      <c r="K26" s="10" t="s">
        <v>141</v>
      </c>
      <c r="L26" s="10" t="n">
        <v>2</v>
      </c>
      <c r="M26" s="10" t="n">
        <v>1</v>
      </c>
      <c r="N26" s="10" t="n">
        <v>3</v>
      </c>
      <c r="O26" s="10" t="n">
        <v>1</v>
      </c>
      <c r="P26" s="10" t="s">
        <v>65</v>
      </c>
      <c r="Q26" s="10" t="s">
        <v>325</v>
      </c>
      <c r="R26" s="10" t="s">
        <v>105</v>
      </c>
      <c r="S26" s="10" t="s">
        <v>326</v>
      </c>
      <c r="T26" s="10" t="s">
        <v>121</v>
      </c>
      <c r="U26" s="10" t="n">
        <v>0</v>
      </c>
      <c r="V26" s="10" t="s">
        <v>70</v>
      </c>
      <c r="W26" s="10" t="s">
        <v>69</v>
      </c>
      <c r="X26" s="10" t="n">
        <v>1</v>
      </c>
      <c r="Y26" s="10" t="s">
        <v>327</v>
      </c>
      <c r="Z26" s="10" t="s">
        <v>69</v>
      </c>
      <c r="AA26" s="10" t="s">
        <v>72</v>
      </c>
      <c r="AB26" s="10" t="s">
        <v>73</v>
      </c>
      <c r="AC26" s="10" t="s">
        <v>94</v>
      </c>
      <c r="AD26" s="10" t="s">
        <v>95</v>
      </c>
      <c r="AE26" s="10" t="s">
        <v>62</v>
      </c>
      <c r="AF26" s="10" t="s">
        <v>77</v>
      </c>
      <c r="AG26" s="10" t="s">
        <v>149</v>
      </c>
      <c r="AH26" s="10" t="s">
        <v>328</v>
      </c>
    </row>
    <row r="27" customFormat="false" ht="46.25" hidden="false" customHeight="false" outlineLevel="0" collapsed="false">
      <c r="A27" s="10" t="s">
        <v>329</v>
      </c>
      <c r="B27" s="10" t="s">
        <v>330</v>
      </c>
      <c r="C27" s="10" t="s">
        <v>130</v>
      </c>
      <c r="D27" s="10" t="s">
        <v>331</v>
      </c>
      <c r="E27" s="10" t="s">
        <v>101</v>
      </c>
      <c r="F27" s="10" t="s">
        <v>84</v>
      </c>
      <c r="G27" s="10" t="s">
        <v>62</v>
      </c>
      <c r="H27" s="10" t="n">
        <v>2</v>
      </c>
      <c r="I27" s="10" t="s">
        <v>332</v>
      </c>
      <c r="J27" s="10" t="n">
        <v>3</v>
      </c>
      <c r="K27" s="10" t="s">
        <v>333</v>
      </c>
      <c r="L27" s="10" t="n">
        <v>0</v>
      </c>
      <c r="M27" s="10" t="n">
        <v>0</v>
      </c>
      <c r="N27" s="10" t="n">
        <v>0</v>
      </c>
      <c r="O27" s="10" t="n">
        <v>0</v>
      </c>
      <c r="P27" s="10" t="s">
        <v>87</v>
      </c>
      <c r="Q27" s="10" t="s">
        <v>69</v>
      </c>
      <c r="R27" s="10" t="s">
        <v>87</v>
      </c>
      <c r="S27" s="10" t="s">
        <v>69</v>
      </c>
      <c r="T27" s="10" t="s">
        <v>69</v>
      </c>
      <c r="U27" s="10" t="n">
        <v>2</v>
      </c>
      <c r="V27" s="10" t="s">
        <v>122</v>
      </c>
      <c r="W27" s="10" t="s">
        <v>108</v>
      </c>
      <c r="X27" s="10" t="n">
        <v>1</v>
      </c>
      <c r="Y27" s="10" t="s">
        <v>334</v>
      </c>
      <c r="Z27" s="10" t="s">
        <v>335</v>
      </c>
      <c r="AA27" s="10" t="s">
        <v>72</v>
      </c>
      <c r="AB27" s="10" t="s">
        <v>110</v>
      </c>
      <c r="AC27" s="10" t="s">
        <v>94</v>
      </c>
      <c r="AD27" s="10" t="s">
        <v>95</v>
      </c>
      <c r="AE27" s="10" t="s">
        <v>62</v>
      </c>
      <c r="AF27" s="10" t="s">
        <v>77</v>
      </c>
      <c r="AG27" s="10" t="s">
        <v>126</v>
      </c>
      <c r="AH27" s="10" t="s">
        <v>336</v>
      </c>
    </row>
    <row r="28" customFormat="false" ht="113.4" hidden="false" customHeight="false" outlineLevel="0" collapsed="false">
      <c r="A28" s="10" t="s">
        <v>337</v>
      </c>
      <c r="B28" s="10" t="s">
        <v>338</v>
      </c>
      <c r="C28" s="10" t="s">
        <v>339</v>
      </c>
      <c r="D28" s="10" t="s">
        <v>340</v>
      </c>
      <c r="E28" s="10" t="s">
        <v>101</v>
      </c>
      <c r="F28" s="10" t="s">
        <v>84</v>
      </c>
      <c r="G28" s="10" t="s">
        <v>62</v>
      </c>
      <c r="H28" s="10" t="n">
        <v>2</v>
      </c>
      <c r="I28" s="10" t="s">
        <v>341</v>
      </c>
      <c r="J28" s="10" t="n">
        <v>3</v>
      </c>
      <c r="K28" s="10" t="s">
        <v>342</v>
      </c>
      <c r="L28" s="10" t="n">
        <v>1</v>
      </c>
      <c r="M28" s="10" t="n">
        <v>2</v>
      </c>
      <c r="N28" s="10" t="n">
        <v>0</v>
      </c>
      <c r="O28" s="10" t="n">
        <v>1</v>
      </c>
      <c r="P28" s="10" t="s">
        <v>343</v>
      </c>
      <c r="Q28" s="10" t="s">
        <v>104</v>
      </c>
      <c r="R28" s="10" t="s">
        <v>105</v>
      </c>
      <c r="S28" s="10" t="s">
        <v>344</v>
      </c>
      <c r="T28" s="10" t="s">
        <v>345</v>
      </c>
      <c r="U28" s="10" t="n">
        <v>0</v>
      </c>
      <c r="V28" s="10" t="s">
        <v>70</v>
      </c>
      <c r="W28" s="10" t="s">
        <v>346</v>
      </c>
      <c r="X28" s="10" t="n">
        <v>1</v>
      </c>
      <c r="Y28" s="10" t="s">
        <v>347</v>
      </c>
      <c r="Z28" s="10" t="s">
        <v>69</v>
      </c>
      <c r="AA28" s="10" t="s">
        <v>72</v>
      </c>
      <c r="AB28" s="10" t="s">
        <v>110</v>
      </c>
      <c r="AC28" s="10" t="s">
        <v>94</v>
      </c>
      <c r="AD28" s="10" t="s">
        <v>95</v>
      </c>
      <c r="AE28" s="10" t="s">
        <v>62</v>
      </c>
      <c r="AF28" s="10" t="s">
        <v>77</v>
      </c>
      <c r="AG28" s="10" t="s">
        <v>126</v>
      </c>
      <c r="AH28" s="10" t="s">
        <v>348</v>
      </c>
    </row>
    <row r="29" customFormat="false" ht="57.45" hidden="false" customHeight="false" outlineLevel="0" collapsed="false">
      <c r="A29" s="10" t="s">
        <v>349</v>
      </c>
      <c r="B29" s="10" t="s">
        <v>350</v>
      </c>
      <c r="C29" s="10" t="s">
        <v>281</v>
      </c>
      <c r="D29" s="10" t="s">
        <v>351</v>
      </c>
      <c r="E29" s="10" t="s">
        <v>101</v>
      </c>
      <c r="F29" s="10" t="s">
        <v>352</v>
      </c>
      <c r="G29" s="10" t="s">
        <v>112</v>
      </c>
      <c r="H29" s="10" t="n">
        <v>2</v>
      </c>
      <c r="I29" s="10" t="s">
        <v>353</v>
      </c>
      <c r="J29" s="10" t="n">
        <v>2</v>
      </c>
      <c r="K29" s="10" t="s">
        <v>354</v>
      </c>
      <c r="L29" s="10" t="n">
        <v>2</v>
      </c>
      <c r="M29" s="10" t="n">
        <v>1</v>
      </c>
      <c r="N29" s="10" t="n">
        <v>1</v>
      </c>
      <c r="O29" s="10" t="n">
        <v>1</v>
      </c>
      <c r="P29" s="10" t="s">
        <v>355</v>
      </c>
      <c r="Q29" s="10" t="s">
        <v>356</v>
      </c>
      <c r="R29" s="10" t="s">
        <v>105</v>
      </c>
      <c r="S29" s="10" t="s">
        <v>357</v>
      </c>
      <c r="T29" s="10" t="s">
        <v>345</v>
      </c>
      <c r="U29" s="10" t="n">
        <v>0</v>
      </c>
      <c r="V29" s="10" t="s">
        <v>70</v>
      </c>
      <c r="W29" s="10" t="s">
        <v>69</v>
      </c>
      <c r="X29" s="10" t="n">
        <v>1</v>
      </c>
      <c r="Y29" s="10" t="s">
        <v>358</v>
      </c>
      <c r="Z29" s="10" t="s">
        <v>69</v>
      </c>
      <c r="AA29" s="10" t="s">
        <v>110</v>
      </c>
      <c r="AB29" s="10" t="s">
        <v>72</v>
      </c>
      <c r="AC29" s="10" t="s">
        <v>74</v>
      </c>
      <c r="AD29" s="10" t="s">
        <v>302</v>
      </c>
      <c r="AE29" s="10" t="s">
        <v>76</v>
      </c>
      <c r="AF29" s="10" t="s">
        <v>359</v>
      </c>
      <c r="AG29" s="10" t="s">
        <v>360</v>
      </c>
      <c r="AH29" s="10" t="s">
        <v>361</v>
      </c>
    </row>
    <row r="30" customFormat="false" ht="158.2" hidden="false" customHeight="false" outlineLevel="0" collapsed="false">
      <c r="A30" s="10" t="s">
        <v>362</v>
      </c>
      <c r="B30" s="10" t="s">
        <v>363</v>
      </c>
      <c r="C30" s="10" t="s">
        <v>364</v>
      </c>
      <c r="D30" s="10" t="s">
        <v>365</v>
      </c>
      <c r="E30" s="10" t="s">
        <v>101</v>
      </c>
      <c r="F30" s="10" t="s">
        <v>366</v>
      </c>
      <c r="G30" s="10" t="s">
        <v>62</v>
      </c>
      <c r="H30" s="10" t="n">
        <v>2</v>
      </c>
      <c r="I30" s="10" t="s">
        <v>367</v>
      </c>
      <c r="J30" s="10" t="n">
        <v>3</v>
      </c>
      <c r="K30" s="10" t="s">
        <v>368</v>
      </c>
      <c r="L30" s="10" t="n">
        <v>2</v>
      </c>
      <c r="M30" s="10" t="n">
        <v>1</v>
      </c>
      <c r="N30" s="10" t="n">
        <v>3</v>
      </c>
      <c r="O30" s="10" t="n">
        <v>1</v>
      </c>
      <c r="P30" s="10" t="s">
        <v>369</v>
      </c>
      <c r="Q30" s="10" t="s">
        <v>143</v>
      </c>
      <c r="R30" s="10" t="s">
        <v>105</v>
      </c>
      <c r="S30" s="10" t="s">
        <v>370</v>
      </c>
      <c r="T30" s="10" t="s">
        <v>371</v>
      </c>
      <c r="U30" s="10" t="n">
        <v>2</v>
      </c>
      <c r="V30" s="10" t="s">
        <v>92</v>
      </c>
      <c r="W30" s="10" t="s">
        <v>171</v>
      </c>
      <c r="X30" s="10" t="n">
        <v>2</v>
      </c>
      <c r="Y30" s="10" t="s">
        <v>372</v>
      </c>
      <c r="Z30" s="10" t="s">
        <v>373</v>
      </c>
      <c r="AA30" s="10" t="s">
        <v>72</v>
      </c>
      <c r="AB30" s="10" t="s">
        <v>73</v>
      </c>
      <c r="AC30" s="10" t="s">
        <v>94</v>
      </c>
      <c r="AD30" s="10" t="s">
        <v>95</v>
      </c>
      <c r="AE30" s="10" t="s">
        <v>62</v>
      </c>
      <c r="AF30" s="10" t="s">
        <v>77</v>
      </c>
      <c r="AG30" s="10" t="s">
        <v>374</v>
      </c>
      <c r="AH30" s="10" t="s">
        <v>328</v>
      </c>
    </row>
    <row r="31" customFormat="false" ht="46.25" hidden="false" customHeight="false" outlineLevel="0" collapsed="false">
      <c r="A31" s="10" t="s">
        <v>375</v>
      </c>
      <c r="B31" s="10" t="s">
        <v>376</v>
      </c>
      <c r="C31" s="10" t="s">
        <v>312</v>
      </c>
      <c r="D31" s="10" t="s">
        <v>377</v>
      </c>
      <c r="E31" s="10" t="s">
        <v>101</v>
      </c>
      <c r="F31" s="10" t="s">
        <v>378</v>
      </c>
      <c r="G31" s="10" t="s">
        <v>62</v>
      </c>
      <c r="H31" s="10" t="n">
        <v>2</v>
      </c>
      <c r="I31" s="10" t="s">
        <v>379</v>
      </c>
      <c r="J31" s="10" t="n">
        <v>2</v>
      </c>
      <c r="K31" s="10" t="s">
        <v>380</v>
      </c>
      <c r="L31" s="10" t="n">
        <v>2</v>
      </c>
      <c r="M31" s="10" t="n">
        <v>0</v>
      </c>
      <c r="N31" s="10" t="n">
        <v>2</v>
      </c>
      <c r="O31" s="10" t="n">
        <v>1</v>
      </c>
      <c r="P31" s="10" t="s">
        <v>87</v>
      </c>
      <c r="Q31" s="10" t="s">
        <v>88</v>
      </c>
      <c r="R31" s="10" t="s">
        <v>105</v>
      </c>
      <c r="S31" s="10" t="s">
        <v>90</v>
      </c>
      <c r="T31" s="10" t="s">
        <v>121</v>
      </c>
      <c r="U31" s="10" t="n">
        <v>2</v>
      </c>
      <c r="V31" s="10" t="s">
        <v>122</v>
      </c>
      <c r="W31" s="10" t="s">
        <v>108</v>
      </c>
      <c r="X31" s="10" t="n">
        <v>1</v>
      </c>
      <c r="Y31" s="10" t="s">
        <v>381</v>
      </c>
      <c r="Z31" s="10" t="s">
        <v>69</v>
      </c>
      <c r="AA31" s="10" t="s">
        <v>110</v>
      </c>
      <c r="AB31" s="10" t="s">
        <v>72</v>
      </c>
      <c r="AC31" s="10" t="s">
        <v>74</v>
      </c>
      <c r="AD31" s="10" t="s">
        <v>251</v>
      </c>
      <c r="AE31" s="10" t="s">
        <v>112</v>
      </c>
      <c r="AF31" s="10" t="s">
        <v>382</v>
      </c>
      <c r="AG31" s="10" t="s">
        <v>126</v>
      </c>
      <c r="AH31" s="10" t="s">
        <v>383</v>
      </c>
    </row>
    <row r="32" customFormat="false" ht="79.85" hidden="false" customHeight="false" outlineLevel="0" collapsed="false">
      <c r="A32" s="10" t="s">
        <v>384</v>
      </c>
      <c r="B32" s="10" t="s">
        <v>385</v>
      </c>
      <c r="C32" s="10" t="s">
        <v>386</v>
      </c>
      <c r="D32" s="10" t="s">
        <v>387</v>
      </c>
      <c r="E32" s="10" t="s">
        <v>101</v>
      </c>
      <c r="F32" s="10" t="s">
        <v>84</v>
      </c>
      <c r="G32" s="10" t="s">
        <v>62</v>
      </c>
      <c r="H32" s="10" t="n">
        <v>2</v>
      </c>
      <c r="I32" s="10" t="s">
        <v>388</v>
      </c>
      <c r="J32" s="10" t="n">
        <v>3</v>
      </c>
      <c r="K32" s="10" t="s">
        <v>342</v>
      </c>
      <c r="L32" s="10" t="n">
        <v>2</v>
      </c>
      <c r="M32" s="10" t="n">
        <v>0</v>
      </c>
      <c r="N32" s="10" t="n">
        <v>2</v>
      </c>
      <c r="O32" s="10" t="n">
        <v>1</v>
      </c>
      <c r="P32" s="10" t="s">
        <v>87</v>
      </c>
      <c r="Q32" s="10" t="s">
        <v>389</v>
      </c>
      <c r="R32" s="10" t="s">
        <v>105</v>
      </c>
      <c r="S32" s="10" t="s">
        <v>390</v>
      </c>
      <c r="T32" s="10" t="s">
        <v>121</v>
      </c>
      <c r="U32" s="10" t="n">
        <v>2</v>
      </c>
      <c r="V32" s="10" t="s">
        <v>391</v>
      </c>
      <c r="W32" s="10" t="s">
        <v>171</v>
      </c>
      <c r="X32" s="10" t="n">
        <v>1</v>
      </c>
      <c r="Y32" s="10" t="s">
        <v>392</v>
      </c>
      <c r="Z32" s="10" t="s">
        <v>69</v>
      </c>
      <c r="AA32" s="10" t="s">
        <v>72</v>
      </c>
      <c r="AB32" s="10" t="s">
        <v>73</v>
      </c>
      <c r="AC32" s="10" t="s">
        <v>94</v>
      </c>
      <c r="AD32" s="10" t="s">
        <v>95</v>
      </c>
      <c r="AE32" s="10" t="s">
        <v>62</v>
      </c>
      <c r="AF32" s="10" t="s">
        <v>77</v>
      </c>
      <c r="AG32" s="10" t="s">
        <v>126</v>
      </c>
      <c r="AH32" s="10" t="s">
        <v>393</v>
      </c>
    </row>
    <row r="33" customFormat="false" ht="57.45" hidden="false" customHeight="false" outlineLevel="0" collapsed="false">
      <c r="A33" s="10" t="s">
        <v>394</v>
      </c>
      <c r="B33" s="10" t="s">
        <v>395</v>
      </c>
      <c r="C33" s="10" t="s">
        <v>99</v>
      </c>
      <c r="D33" s="10" t="s">
        <v>396</v>
      </c>
      <c r="E33" s="10" t="s">
        <v>101</v>
      </c>
      <c r="F33" s="10" t="s">
        <v>61</v>
      </c>
      <c r="G33" s="10" t="s">
        <v>112</v>
      </c>
      <c r="H33" s="10" t="n">
        <v>0</v>
      </c>
      <c r="I33" s="10" t="s">
        <v>140</v>
      </c>
      <c r="J33" s="10" t="n">
        <v>3</v>
      </c>
      <c r="K33" s="10" t="s">
        <v>368</v>
      </c>
      <c r="L33" s="10" t="n">
        <v>1</v>
      </c>
      <c r="M33" s="10" t="n">
        <v>2</v>
      </c>
      <c r="N33" s="10" t="n">
        <v>0</v>
      </c>
      <c r="O33" s="10" t="n">
        <v>1</v>
      </c>
      <c r="P33" s="10" t="s">
        <v>397</v>
      </c>
      <c r="Q33" s="10" t="s">
        <v>104</v>
      </c>
      <c r="R33" s="10" t="s">
        <v>67</v>
      </c>
      <c r="S33" s="10" t="s">
        <v>106</v>
      </c>
      <c r="T33" s="10" t="s">
        <v>398</v>
      </c>
      <c r="U33" s="10" t="n">
        <v>0</v>
      </c>
      <c r="V33" s="10" t="s">
        <v>70</v>
      </c>
      <c r="W33" s="10" t="s">
        <v>69</v>
      </c>
      <c r="X33" s="10" t="n">
        <v>1</v>
      </c>
      <c r="Y33" s="10" t="s">
        <v>399</v>
      </c>
      <c r="Z33" s="10" t="s">
        <v>69</v>
      </c>
      <c r="AA33" s="10" t="s">
        <v>72</v>
      </c>
      <c r="AB33" s="10" t="s">
        <v>70</v>
      </c>
      <c r="AC33" s="10" t="s">
        <v>94</v>
      </c>
      <c r="AD33" s="10" t="s">
        <v>95</v>
      </c>
      <c r="AE33" s="10" t="s">
        <v>62</v>
      </c>
      <c r="AF33" s="10" t="s">
        <v>77</v>
      </c>
      <c r="AG33" s="10" t="s">
        <v>149</v>
      </c>
      <c r="AH33" s="10" t="s">
        <v>400</v>
      </c>
    </row>
    <row r="34" customFormat="false" ht="124.6" hidden="false" customHeight="false" outlineLevel="0" collapsed="false">
      <c r="A34" s="10" t="s">
        <v>401</v>
      </c>
      <c r="B34" s="10" t="s">
        <v>402</v>
      </c>
      <c r="C34" s="10" t="s">
        <v>386</v>
      </c>
      <c r="D34" s="10" t="s">
        <v>403</v>
      </c>
      <c r="E34" s="10" t="s">
        <v>101</v>
      </c>
      <c r="F34" s="10" t="s">
        <v>84</v>
      </c>
      <c r="G34" s="10" t="s">
        <v>62</v>
      </c>
      <c r="H34" s="10" t="n">
        <v>1</v>
      </c>
      <c r="I34" s="10" t="s">
        <v>85</v>
      </c>
      <c r="J34" s="10" t="n">
        <v>2</v>
      </c>
      <c r="K34" s="10" t="s">
        <v>404</v>
      </c>
      <c r="L34" s="10" t="n">
        <v>1</v>
      </c>
      <c r="M34" s="10" t="n">
        <v>0</v>
      </c>
      <c r="N34" s="10" t="n">
        <v>0</v>
      </c>
      <c r="O34" s="10" t="n">
        <v>1</v>
      </c>
      <c r="P34" s="10" t="s">
        <v>87</v>
      </c>
      <c r="Q34" s="10" t="s">
        <v>104</v>
      </c>
      <c r="R34" s="10" t="s">
        <v>105</v>
      </c>
      <c r="S34" s="10" t="s">
        <v>106</v>
      </c>
      <c r="T34" s="10" t="s">
        <v>121</v>
      </c>
      <c r="U34" s="10" t="n">
        <v>2</v>
      </c>
      <c r="V34" s="10" t="s">
        <v>405</v>
      </c>
      <c r="W34" s="10" t="s">
        <v>171</v>
      </c>
      <c r="X34" s="10" t="n">
        <v>2</v>
      </c>
      <c r="Y34" s="10" t="s">
        <v>406</v>
      </c>
      <c r="Z34" s="10" t="s">
        <v>407</v>
      </c>
      <c r="AA34" s="10" t="s">
        <v>72</v>
      </c>
      <c r="AB34" s="10" t="s">
        <v>70</v>
      </c>
      <c r="AC34" s="10" t="s">
        <v>94</v>
      </c>
      <c r="AD34" s="10" t="s">
        <v>95</v>
      </c>
      <c r="AE34" s="10" t="s">
        <v>62</v>
      </c>
      <c r="AF34" s="10" t="s">
        <v>77</v>
      </c>
      <c r="AG34" s="10" t="s">
        <v>126</v>
      </c>
      <c r="AH34" s="10" t="s">
        <v>408</v>
      </c>
    </row>
    <row r="35" customFormat="false" ht="102.2" hidden="false" customHeight="false" outlineLevel="0" collapsed="false">
      <c r="A35" s="10" t="s">
        <v>409</v>
      </c>
      <c r="B35" s="10" t="s">
        <v>410</v>
      </c>
      <c r="C35" s="10" t="s">
        <v>138</v>
      </c>
      <c r="D35" s="10" t="s">
        <v>411</v>
      </c>
      <c r="E35" s="10" t="s">
        <v>412</v>
      </c>
      <c r="F35" s="10" t="s">
        <v>84</v>
      </c>
      <c r="G35" s="10" t="s">
        <v>62</v>
      </c>
      <c r="H35" s="10" t="n">
        <v>1</v>
      </c>
      <c r="I35" s="10" t="s">
        <v>85</v>
      </c>
      <c r="J35" s="10" t="n">
        <v>3</v>
      </c>
      <c r="K35" s="10" t="s">
        <v>413</v>
      </c>
      <c r="L35" s="10" t="n">
        <v>2</v>
      </c>
      <c r="M35" s="10" t="n">
        <v>1</v>
      </c>
      <c r="N35" s="10" t="n">
        <v>3</v>
      </c>
      <c r="O35" s="10" t="n">
        <v>1</v>
      </c>
      <c r="P35" s="10" t="s">
        <v>65</v>
      </c>
      <c r="Q35" s="10" t="s">
        <v>414</v>
      </c>
      <c r="R35" s="10" t="s">
        <v>105</v>
      </c>
      <c r="S35" s="10" t="s">
        <v>415</v>
      </c>
      <c r="T35" s="10" t="s">
        <v>345</v>
      </c>
      <c r="U35" s="10" t="n">
        <v>2</v>
      </c>
      <c r="V35" s="10" t="s">
        <v>92</v>
      </c>
      <c r="W35" s="10" t="s">
        <v>171</v>
      </c>
      <c r="X35" s="10" t="n">
        <v>2</v>
      </c>
      <c r="Y35" s="10" t="s">
        <v>416</v>
      </c>
      <c r="Z35" s="10" t="s">
        <v>417</v>
      </c>
      <c r="AA35" s="10" t="s">
        <v>72</v>
      </c>
      <c r="AB35" s="10" t="s">
        <v>73</v>
      </c>
      <c r="AC35" s="10" t="s">
        <v>94</v>
      </c>
      <c r="AD35" s="10" t="s">
        <v>95</v>
      </c>
      <c r="AE35" s="10" t="s">
        <v>62</v>
      </c>
      <c r="AF35" s="10" t="s">
        <v>77</v>
      </c>
      <c r="AG35" s="10" t="s">
        <v>126</v>
      </c>
      <c r="AH35" s="10" t="s">
        <v>418</v>
      </c>
    </row>
    <row r="36" customFormat="false" ht="102.2" hidden="false" customHeight="false" outlineLevel="0" collapsed="false">
      <c r="A36" s="10" t="s">
        <v>419</v>
      </c>
      <c r="B36" s="10" t="s">
        <v>420</v>
      </c>
      <c r="C36" s="10" t="s">
        <v>153</v>
      </c>
      <c r="D36" s="10" t="s">
        <v>421</v>
      </c>
      <c r="E36" s="10" t="s">
        <v>101</v>
      </c>
      <c r="F36" s="10" t="s">
        <v>61</v>
      </c>
      <c r="G36" s="10" t="s">
        <v>76</v>
      </c>
      <c r="H36" s="10" t="n">
        <v>2</v>
      </c>
      <c r="I36" s="10" t="s">
        <v>422</v>
      </c>
      <c r="J36" s="10" t="n">
        <v>2</v>
      </c>
      <c r="K36" s="10" t="s">
        <v>423</v>
      </c>
      <c r="L36" s="10" t="n">
        <v>1</v>
      </c>
      <c r="M36" s="10" t="n">
        <v>0</v>
      </c>
      <c r="N36" s="10" t="n">
        <v>0</v>
      </c>
      <c r="O36" s="10" t="n">
        <v>1</v>
      </c>
      <c r="P36" s="10" t="s">
        <v>87</v>
      </c>
      <c r="Q36" s="10" t="s">
        <v>104</v>
      </c>
      <c r="R36" s="10" t="s">
        <v>105</v>
      </c>
      <c r="S36" s="10" t="s">
        <v>106</v>
      </c>
      <c r="T36" s="10" t="s">
        <v>424</v>
      </c>
      <c r="U36" s="10" t="n">
        <v>0</v>
      </c>
      <c r="V36" s="10" t="s">
        <v>70</v>
      </c>
      <c r="W36" s="10" t="s">
        <v>69</v>
      </c>
      <c r="X36" s="10" t="n">
        <v>2</v>
      </c>
      <c r="Y36" s="10" t="s">
        <v>425</v>
      </c>
      <c r="Z36" s="10" t="s">
        <v>426</v>
      </c>
      <c r="AA36" s="10" t="s">
        <v>110</v>
      </c>
      <c r="AB36" s="10" t="s">
        <v>72</v>
      </c>
      <c r="AC36" s="10" t="s">
        <v>74</v>
      </c>
      <c r="AD36" s="10" t="s">
        <v>251</v>
      </c>
      <c r="AE36" s="10" t="s">
        <v>112</v>
      </c>
      <c r="AF36" s="10" t="s">
        <v>427</v>
      </c>
      <c r="AG36" s="10" t="s">
        <v>126</v>
      </c>
      <c r="AH36" s="10" t="s">
        <v>428</v>
      </c>
    </row>
    <row r="37" customFormat="false" ht="79.85" hidden="false" customHeight="false" outlineLevel="0" collapsed="false">
      <c r="A37" s="10" t="s">
        <v>429</v>
      </c>
      <c r="B37" s="10" t="s">
        <v>430</v>
      </c>
      <c r="C37" s="10" t="s">
        <v>281</v>
      </c>
      <c r="D37" s="10" t="s">
        <v>431</v>
      </c>
      <c r="E37" s="10" t="s">
        <v>432</v>
      </c>
      <c r="F37" s="10" t="s">
        <v>433</v>
      </c>
      <c r="G37" s="10" t="s">
        <v>62</v>
      </c>
      <c r="H37" s="10" t="n">
        <v>2</v>
      </c>
      <c r="I37" s="10" t="s">
        <v>434</v>
      </c>
      <c r="J37" s="10" t="n">
        <v>0</v>
      </c>
      <c r="K37" s="10" t="s">
        <v>275</v>
      </c>
      <c r="L37" s="10" t="n">
        <v>0</v>
      </c>
      <c r="M37" s="10" t="n">
        <v>0</v>
      </c>
      <c r="N37" s="10" t="n">
        <v>0</v>
      </c>
      <c r="O37" s="10" t="n">
        <v>0</v>
      </c>
      <c r="P37" s="10" t="s">
        <v>87</v>
      </c>
      <c r="Q37" s="10" t="s">
        <v>69</v>
      </c>
      <c r="R37" s="10" t="s">
        <v>87</v>
      </c>
      <c r="S37" s="10" t="s">
        <v>69</v>
      </c>
      <c r="T37" s="10" t="s">
        <v>69</v>
      </c>
      <c r="U37" s="10" t="n">
        <v>2</v>
      </c>
      <c r="V37" s="10" t="s">
        <v>122</v>
      </c>
      <c r="W37" s="10" t="s">
        <v>171</v>
      </c>
      <c r="X37" s="10" t="n">
        <v>2</v>
      </c>
      <c r="Y37" s="10" t="s">
        <v>435</v>
      </c>
      <c r="Z37" s="10" t="s">
        <v>436</v>
      </c>
      <c r="AA37" s="10" t="s">
        <v>110</v>
      </c>
      <c r="AB37" s="10" t="s">
        <v>70</v>
      </c>
      <c r="AC37" s="10" t="s">
        <v>94</v>
      </c>
      <c r="AD37" s="10" t="s">
        <v>95</v>
      </c>
      <c r="AE37" s="10" t="s">
        <v>62</v>
      </c>
      <c r="AF37" s="10" t="s">
        <v>77</v>
      </c>
      <c r="AG37" s="10" t="s">
        <v>126</v>
      </c>
      <c r="AH37" s="10" t="s">
        <v>437</v>
      </c>
    </row>
    <row r="38" customFormat="false" ht="113.4" hidden="false" customHeight="false" outlineLevel="0" collapsed="false">
      <c r="A38" s="10" t="s">
        <v>438</v>
      </c>
      <c r="B38" s="10" t="s">
        <v>439</v>
      </c>
      <c r="C38" s="10" t="s">
        <v>321</v>
      </c>
      <c r="D38" s="10" t="s">
        <v>440</v>
      </c>
      <c r="E38" s="10" t="s">
        <v>101</v>
      </c>
      <c r="F38" s="10" t="s">
        <v>441</v>
      </c>
      <c r="G38" s="10" t="s">
        <v>112</v>
      </c>
      <c r="H38" s="10" t="n">
        <v>2</v>
      </c>
      <c r="I38" s="10" t="s">
        <v>442</v>
      </c>
      <c r="J38" s="10" t="n">
        <v>3</v>
      </c>
      <c r="K38" s="10" t="s">
        <v>218</v>
      </c>
      <c r="L38" s="10" t="n">
        <v>1</v>
      </c>
      <c r="M38" s="10" t="n">
        <v>1</v>
      </c>
      <c r="N38" s="10" t="n">
        <v>0</v>
      </c>
      <c r="O38" s="10" t="n">
        <v>0</v>
      </c>
      <c r="P38" s="10" t="s">
        <v>443</v>
      </c>
      <c r="Q38" s="10" t="s">
        <v>104</v>
      </c>
      <c r="R38" s="10" t="s">
        <v>87</v>
      </c>
      <c r="S38" s="10" t="s">
        <v>444</v>
      </c>
      <c r="T38" s="10" t="s">
        <v>445</v>
      </c>
      <c r="U38" s="10" t="n">
        <v>2</v>
      </c>
      <c r="V38" s="10" t="s">
        <v>446</v>
      </c>
      <c r="W38" s="10" t="s">
        <v>346</v>
      </c>
      <c r="X38" s="10" t="n">
        <v>2</v>
      </c>
      <c r="Y38" s="10" t="s">
        <v>447</v>
      </c>
      <c r="Z38" s="10" t="s">
        <v>448</v>
      </c>
      <c r="AA38" s="10" t="s">
        <v>72</v>
      </c>
      <c r="AB38" s="10" t="s">
        <v>110</v>
      </c>
      <c r="AC38" s="10" t="s">
        <v>94</v>
      </c>
      <c r="AD38" s="10" t="s">
        <v>95</v>
      </c>
      <c r="AE38" s="10" t="s">
        <v>62</v>
      </c>
      <c r="AF38" s="10" t="s">
        <v>77</v>
      </c>
      <c r="AG38" s="10" t="s">
        <v>211</v>
      </c>
      <c r="AH38" s="10" t="s">
        <v>449</v>
      </c>
    </row>
    <row r="39" customFormat="false" ht="46.25" hidden="false" customHeight="false" outlineLevel="0" collapsed="false">
      <c r="A39" s="10" t="s">
        <v>450</v>
      </c>
      <c r="B39" s="10" t="s">
        <v>451</v>
      </c>
      <c r="C39" s="10" t="s">
        <v>226</v>
      </c>
      <c r="D39" s="10" t="s">
        <v>452</v>
      </c>
      <c r="E39" s="10" t="s">
        <v>101</v>
      </c>
      <c r="F39" s="10" t="s">
        <v>453</v>
      </c>
      <c r="G39" s="10" t="s">
        <v>112</v>
      </c>
      <c r="H39" s="10" t="n">
        <v>1</v>
      </c>
      <c r="I39" s="10" t="s">
        <v>454</v>
      </c>
      <c r="J39" s="10" t="n">
        <v>2</v>
      </c>
      <c r="K39" s="10" t="s">
        <v>189</v>
      </c>
      <c r="L39" s="10" t="n">
        <v>2</v>
      </c>
      <c r="M39" s="10" t="n">
        <v>1</v>
      </c>
      <c r="N39" s="10" t="n">
        <v>2</v>
      </c>
      <c r="O39" s="10" t="n">
        <v>1</v>
      </c>
      <c r="P39" s="10" t="s">
        <v>455</v>
      </c>
      <c r="Q39" s="10" t="s">
        <v>389</v>
      </c>
      <c r="R39" s="10" t="s">
        <v>67</v>
      </c>
      <c r="S39" s="10" t="s">
        <v>390</v>
      </c>
      <c r="T39" s="10" t="s">
        <v>445</v>
      </c>
      <c r="U39" s="10" t="n">
        <v>0</v>
      </c>
      <c r="V39" s="10" t="s">
        <v>70</v>
      </c>
      <c r="W39" s="10" t="s">
        <v>346</v>
      </c>
      <c r="X39" s="10" t="n">
        <v>2</v>
      </c>
      <c r="Y39" s="10" t="s">
        <v>456</v>
      </c>
      <c r="Z39" s="10" t="s">
        <v>457</v>
      </c>
      <c r="AA39" s="10" t="s">
        <v>72</v>
      </c>
      <c r="AB39" s="10" t="s">
        <v>73</v>
      </c>
      <c r="AC39" s="10" t="s">
        <v>74</v>
      </c>
      <c r="AD39" s="10" t="s">
        <v>75</v>
      </c>
      <c r="AE39" s="10" t="s">
        <v>76</v>
      </c>
      <c r="AF39" s="10" t="s">
        <v>77</v>
      </c>
      <c r="AG39" s="10" t="s">
        <v>162</v>
      </c>
      <c r="AH39" s="10" t="s">
        <v>458</v>
      </c>
    </row>
    <row r="40" customFormat="false" ht="180.55" hidden="false" customHeight="false" outlineLevel="0" collapsed="false">
      <c r="A40" s="10" t="s">
        <v>459</v>
      </c>
      <c r="B40" s="10" t="s">
        <v>460</v>
      </c>
      <c r="C40" s="10" t="s">
        <v>244</v>
      </c>
      <c r="D40" s="10" t="s">
        <v>461</v>
      </c>
      <c r="E40" s="10" t="s">
        <v>60</v>
      </c>
      <c r="F40" s="10" t="s">
        <v>84</v>
      </c>
      <c r="G40" s="10" t="s">
        <v>62</v>
      </c>
      <c r="H40" s="10" t="n">
        <v>2</v>
      </c>
      <c r="I40" s="10" t="s">
        <v>462</v>
      </c>
      <c r="J40" s="10" t="n">
        <v>3</v>
      </c>
      <c r="K40" s="10" t="s">
        <v>463</v>
      </c>
      <c r="L40" s="10" t="n">
        <v>2</v>
      </c>
      <c r="M40" s="10" t="n">
        <v>1</v>
      </c>
      <c r="N40" s="10" t="n">
        <v>3</v>
      </c>
      <c r="O40" s="10" t="n">
        <v>1</v>
      </c>
      <c r="P40" s="10" t="s">
        <v>65</v>
      </c>
      <c r="Q40" s="10" t="s">
        <v>464</v>
      </c>
      <c r="R40" s="10" t="s">
        <v>105</v>
      </c>
      <c r="S40" s="10" t="s">
        <v>465</v>
      </c>
      <c r="T40" s="10" t="s">
        <v>121</v>
      </c>
      <c r="U40" s="10" t="n">
        <v>2</v>
      </c>
      <c r="V40" s="10" t="s">
        <v>122</v>
      </c>
      <c r="W40" s="10" t="s">
        <v>171</v>
      </c>
      <c r="X40" s="10" t="n">
        <v>2</v>
      </c>
      <c r="Y40" s="10" t="s">
        <v>466</v>
      </c>
      <c r="Z40" s="10" t="s">
        <v>467</v>
      </c>
      <c r="AA40" s="10" t="s">
        <v>72</v>
      </c>
      <c r="AB40" s="10" t="s">
        <v>73</v>
      </c>
      <c r="AC40" s="10" t="s">
        <v>94</v>
      </c>
      <c r="AD40" s="10" t="s">
        <v>95</v>
      </c>
      <c r="AE40" s="10" t="s">
        <v>62</v>
      </c>
      <c r="AF40" s="10" t="s">
        <v>77</v>
      </c>
      <c r="AG40" s="10" t="s">
        <v>126</v>
      </c>
      <c r="AH40" s="10" t="s">
        <v>328</v>
      </c>
    </row>
    <row r="41" customFormat="false" ht="180.55" hidden="false" customHeight="false" outlineLevel="0" collapsed="false">
      <c r="A41" s="10" t="s">
        <v>468</v>
      </c>
      <c r="B41" s="10" t="s">
        <v>469</v>
      </c>
      <c r="C41" s="10" t="s">
        <v>364</v>
      </c>
      <c r="D41" s="10" t="s">
        <v>470</v>
      </c>
      <c r="E41" s="10" t="s">
        <v>412</v>
      </c>
      <c r="F41" s="10" t="s">
        <v>61</v>
      </c>
      <c r="G41" s="10" t="s">
        <v>62</v>
      </c>
      <c r="H41" s="10" t="n">
        <v>0</v>
      </c>
      <c r="I41" s="10" t="s">
        <v>140</v>
      </c>
      <c r="J41" s="10" t="n">
        <v>0</v>
      </c>
      <c r="K41" s="10" t="s">
        <v>275</v>
      </c>
      <c r="L41" s="10" t="n">
        <v>0</v>
      </c>
      <c r="M41" s="10" t="n">
        <v>0</v>
      </c>
      <c r="N41" s="10" t="n">
        <v>0</v>
      </c>
      <c r="O41" s="10" t="n">
        <v>0</v>
      </c>
      <c r="P41" s="10" t="s">
        <v>87</v>
      </c>
      <c r="Q41" s="10" t="s">
        <v>69</v>
      </c>
      <c r="R41" s="10" t="s">
        <v>87</v>
      </c>
      <c r="S41" s="10" t="s">
        <v>69</v>
      </c>
      <c r="T41" s="10" t="s">
        <v>69</v>
      </c>
      <c r="U41" s="10" t="n">
        <v>0</v>
      </c>
      <c r="V41" s="10" t="s">
        <v>70</v>
      </c>
      <c r="W41" s="10" t="s">
        <v>69</v>
      </c>
      <c r="X41" s="10" t="n">
        <v>1</v>
      </c>
      <c r="Y41" s="10" t="s">
        <v>471</v>
      </c>
      <c r="Z41" s="10" t="s">
        <v>69</v>
      </c>
      <c r="AA41" s="10" t="s">
        <v>72</v>
      </c>
      <c r="AB41" s="10" t="s">
        <v>70</v>
      </c>
      <c r="AC41" s="10" t="s">
        <v>74</v>
      </c>
      <c r="AD41" s="10" t="s">
        <v>472</v>
      </c>
      <c r="AE41" s="10" t="s">
        <v>112</v>
      </c>
      <c r="AF41" s="10" t="s">
        <v>125</v>
      </c>
      <c r="AG41" s="10" t="s">
        <v>113</v>
      </c>
      <c r="AH41" s="10" t="s">
        <v>473</v>
      </c>
    </row>
    <row r="42" customFormat="false" ht="68.65" hidden="false" customHeight="false" outlineLevel="0" collapsed="false">
      <c r="A42" s="10" t="s">
        <v>474</v>
      </c>
      <c r="B42" s="10" t="s">
        <v>475</v>
      </c>
      <c r="C42" s="10" t="s">
        <v>339</v>
      </c>
      <c r="D42" s="10" t="s">
        <v>476</v>
      </c>
      <c r="E42" s="10" t="s">
        <v>101</v>
      </c>
      <c r="F42" s="10" t="s">
        <v>477</v>
      </c>
      <c r="G42" s="10" t="s">
        <v>112</v>
      </c>
      <c r="H42" s="10" t="n">
        <v>2</v>
      </c>
      <c r="I42" s="10" t="s">
        <v>478</v>
      </c>
      <c r="J42" s="10" t="n">
        <v>2</v>
      </c>
      <c r="K42" s="10" t="s">
        <v>196</v>
      </c>
      <c r="L42" s="10" t="n">
        <v>2</v>
      </c>
      <c r="M42" s="10" t="n">
        <v>1</v>
      </c>
      <c r="N42" s="10" t="n">
        <v>3</v>
      </c>
      <c r="O42" s="10" t="n">
        <v>1</v>
      </c>
      <c r="P42" s="10" t="s">
        <v>142</v>
      </c>
      <c r="Q42" s="10" t="s">
        <v>479</v>
      </c>
      <c r="R42" s="10" t="s">
        <v>105</v>
      </c>
      <c r="S42" s="10" t="s">
        <v>480</v>
      </c>
      <c r="T42" s="10" t="s">
        <v>481</v>
      </c>
      <c r="U42" s="10" t="n">
        <v>2</v>
      </c>
      <c r="V42" s="10" t="s">
        <v>122</v>
      </c>
      <c r="W42" s="10" t="s">
        <v>171</v>
      </c>
      <c r="X42" s="10" t="n">
        <v>2</v>
      </c>
      <c r="Y42" s="10" t="s">
        <v>482</v>
      </c>
      <c r="Z42" s="10" t="s">
        <v>483</v>
      </c>
      <c r="AA42" s="10" t="s">
        <v>110</v>
      </c>
      <c r="AB42" s="10" t="s">
        <v>72</v>
      </c>
      <c r="AC42" s="10" t="s">
        <v>74</v>
      </c>
      <c r="AD42" s="10" t="s">
        <v>251</v>
      </c>
      <c r="AE42" s="10" t="s">
        <v>112</v>
      </c>
      <c r="AF42" s="10" t="s">
        <v>77</v>
      </c>
      <c r="AG42" s="10" t="s">
        <v>126</v>
      </c>
      <c r="AH42" s="10" t="s">
        <v>484</v>
      </c>
    </row>
    <row r="43" customFormat="false" ht="169.4" hidden="false" customHeight="false" outlineLevel="0" collapsed="false">
      <c r="A43" s="10" t="s">
        <v>485</v>
      </c>
      <c r="B43" s="10" t="s">
        <v>486</v>
      </c>
      <c r="C43" s="10" t="s">
        <v>166</v>
      </c>
      <c r="D43" s="10" t="s">
        <v>487</v>
      </c>
      <c r="E43" s="10" t="s">
        <v>101</v>
      </c>
      <c r="F43" s="10" t="s">
        <v>488</v>
      </c>
      <c r="G43" s="10" t="s">
        <v>76</v>
      </c>
      <c r="H43" s="10" t="n">
        <v>1</v>
      </c>
      <c r="I43" s="10" t="s">
        <v>489</v>
      </c>
      <c r="J43" s="10" t="n">
        <v>2</v>
      </c>
      <c r="K43" s="10" t="s">
        <v>490</v>
      </c>
      <c r="L43" s="10" t="n">
        <v>3</v>
      </c>
      <c r="M43" s="10" t="n">
        <v>1</v>
      </c>
      <c r="N43" s="10" t="n">
        <v>1</v>
      </c>
      <c r="O43" s="10" t="n">
        <v>3</v>
      </c>
      <c r="P43" s="10" t="s">
        <v>65</v>
      </c>
      <c r="Q43" s="10" t="s">
        <v>356</v>
      </c>
      <c r="R43" s="10" t="s">
        <v>89</v>
      </c>
      <c r="S43" s="10" t="s">
        <v>491</v>
      </c>
      <c r="T43" s="10" t="s">
        <v>492</v>
      </c>
      <c r="U43" s="10" t="n">
        <v>0</v>
      </c>
      <c r="V43" s="10" t="s">
        <v>70</v>
      </c>
      <c r="W43" s="10" t="s">
        <v>69</v>
      </c>
      <c r="X43" s="10" t="n">
        <v>2</v>
      </c>
      <c r="Y43" s="10" t="s">
        <v>493</v>
      </c>
      <c r="Z43" s="10" t="s">
        <v>494</v>
      </c>
      <c r="AA43" s="10" t="s">
        <v>73</v>
      </c>
      <c r="AB43" s="10" t="s">
        <v>72</v>
      </c>
      <c r="AC43" s="10" t="s">
        <v>94</v>
      </c>
      <c r="AD43" s="10" t="s">
        <v>95</v>
      </c>
      <c r="AE43" s="10" t="s">
        <v>62</v>
      </c>
      <c r="AF43" s="10" t="s">
        <v>495</v>
      </c>
      <c r="AG43" s="10" t="s">
        <v>113</v>
      </c>
      <c r="AH43" s="10" t="s">
        <v>496</v>
      </c>
    </row>
    <row r="44" customFormat="false" ht="102.2" hidden="false" customHeight="false" outlineLevel="0" collapsed="false">
      <c r="A44" s="10" t="s">
        <v>497</v>
      </c>
      <c r="B44" s="10" t="s">
        <v>498</v>
      </c>
      <c r="C44" s="10" t="s">
        <v>364</v>
      </c>
      <c r="D44" s="10" t="s">
        <v>499</v>
      </c>
      <c r="E44" s="10" t="s">
        <v>101</v>
      </c>
      <c r="F44" s="10" t="s">
        <v>500</v>
      </c>
      <c r="G44" s="10" t="s">
        <v>112</v>
      </c>
      <c r="H44" s="10" t="n">
        <v>2</v>
      </c>
      <c r="I44" s="10" t="s">
        <v>501</v>
      </c>
      <c r="J44" s="10" t="n">
        <v>2</v>
      </c>
      <c r="K44" s="10" t="s">
        <v>502</v>
      </c>
      <c r="L44" s="10" t="n">
        <v>1</v>
      </c>
      <c r="M44" s="10" t="n">
        <v>0</v>
      </c>
      <c r="N44" s="10" t="n">
        <v>0</v>
      </c>
      <c r="O44" s="10" t="n">
        <v>1</v>
      </c>
      <c r="P44" s="10" t="s">
        <v>87</v>
      </c>
      <c r="Q44" s="10" t="s">
        <v>104</v>
      </c>
      <c r="R44" s="10" t="s">
        <v>105</v>
      </c>
      <c r="S44" s="10" t="s">
        <v>106</v>
      </c>
      <c r="T44" s="10" t="s">
        <v>121</v>
      </c>
      <c r="U44" s="10" t="n">
        <v>0</v>
      </c>
      <c r="V44" s="10" t="s">
        <v>70</v>
      </c>
      <c r="W44" s="10" t="s">
        <v>503</v>
      </c>
      <c r="X44" s="10" t="n">
        <v>2</v>
      </c>
      <c r="Y44" s="10" t="s">
        <v>504</v>
      </c>
      <c r="Z44" s="10" t="s">
        <v>505</v>
      </c>
      <c r="AA44" s="10" t="s">
        <v>110</v>
      </c>
      <c r="AB44" s="10" t="s">
        <v>72</v>
      </c>
      <c r="AC44" s="10" t="s">
        <v>74</v>
      </c>
      <c r="AD44" s="10" t="s">
        <v>251</v>
      </c>
      <c r="AE44" s="10" t="s">
        <v>112</v>
      </c>
      <c r="AF44" s="10" t="s">
        <v>77</v>
      </c>
      <c r="AG44" s="10" t="s">
        <v>126</v>
      </c>
      <c r="AH44" s="10" t="s">
        <v>428</v>
      </c>
    </row>
    <row r="45" customFormat="false" ht="68.65" hidden="false" customHeight="false" outlineLevel="0" collapsed="false">
      <c r="A45" s="10" t="s">
        <v>506</v>
      </c>
      <c r="B45" s="10" t="s">
        <v>507</v>
      </c>
      <c r="C45" s="10" t="s">
        <v>82</v>
      </c>
      <c r="D45" s="10" t="s">
        <v>508</v>
      </c>
      <c r="E45" s="10" t="s">
        <v>101</v>
      </c>
      <c r="F45" s="10" t="s">
        <v>61</v>
      </c>
      <c r="G45" s="10" t="s">
        <v>112</v>
      </c>
      <c r="H45" s="10" t="n">
        <v>1</v>
      </c>
      <c r="I45" s="10" t="s">
        <v>155</v>
      </c>
      <c r="J45" s="10" t="n">
        <v>3</v>
      </c>
      <c r="K45" s="10" t="s">
        <v>342</v>
      </c>
      <c r="L45" s="10" t="n">
        <v>1</v>
      </c>
      <c r="M45" s="10" t="n">
        <v>0</v>
      </c>
      <c r="N45" s="10" t="n">
        <v>0</v>
      </c>
      <c r="O45" s="10" t="n">
        <v>3</v>
      </c>
      <c r="P45" s="10" t="s">
        <v>87</v>
      </c>
      <c r="Q45" s="10" t="s">
        <v>509</v>
      </c>
      <c r="R45" s="10" t="s">
        <v>89</v>
      </c>
      <c r="S45" s="10" t="s">
        <v>510</v>
      </c>
      <c r="T45" s="10" t="s">
        <v>511</v>
      </c>
      <c r="U45" s="10" t="n">
        <v>2</v>
      </c>
      <c r="V45" s="10" t="s">
        <v>512</v>
      </c>
      <c r="W45" s="10" t="s">
        <v>513</v>
      </c>
      <c r="X45" s="10" t="n">
        <v>1</v>
      </c>
      <c r="Y45" s="10" t="s">
        <v>514</v>
      </c>
      <c r="Z45" s="10" t="s">
        <v>69</v>
      </c>
      <c r="AA45" s="10" t="s">
        <v>72</v>
      </c>
      <c r="AB45" s="10" t="s">
        <v>70</v>
      </c>
      <c r="AC45" s="10" t="s">
        <v>94</v>
      </c>
      <c r="AD45" s="10" t="s">
        <v>95</v>
      </c>
      <c r="AE45" s="10" t="s">
        <v>62</v>
      </c>
      <c r="AF45" s="10" t="s">
        <v>515</v>
      </c>
      <c r="AG45" s="10" t="s">
        <v>113</v>
      </c>
      <c r="AH45" s="10" t="s">
        <v>516</v>
      </c>
    </row>
    <row r="46" customFormat="false" ht="147" hidden="false" customHeight="false" outlineLevel="0" collapsed="false">
      <c r="A46" s="10" t="s">
        <v>517</v>
      </c>
      <c r="B46" s="10" t="s">
        <v>518</v>
      </c>
      <c r="C46" s="10" t="s">
        <v>321</v>
      </c>
      <c r="D46" s="10" t="s">
        <v>519</v>
      </c>
      <c r="E46" s="10" t="s">
        <v>101</v>
      </c>
      <c r="F46" s="10" t="s">
        <v>84</v>
      </c>
      <c r="G46" s="10" t="s">
        <v>62</v>
      </c>
      <c r="H46" s="10" t="n">
        <v>2</v>
      </c>
      <c r="I46" s="10" t="s">
        <v>520</v>
      </c>
      <c r="J46" s="10" t="n">
        <v>3</v>
      </c>
      <c r="K46" s="10" t="s">
        <v>413</v>
      </c>
      <c r="L46" s="10" t="n">
        <v>2</v>
      </c>
      <c r="M46" s="10" t="n">
        <v>0</v>
      </c>
      <c r="N46" s="10" t="n">
        <v>2</v>
      </c>
      <c r="O46" s="10" t="n">
        <v>1</v>
      </c>
      <c r="P46" s="10" t="s">
        <v>87</v>
      </c>
      <c r="Q46" s="10" t="s">
        <v>88</v>
      </c>
      <c r="R46" s="10" t="s">
        <v>105</v>
      </c>
      <c r="S46" s="10" t="s">
        <v>90</v>
      </c>
      <c r="T46" s="10" t="s">
        <v>521</v>
      </c>
      <c r="U46" s="10" t="n">
        <v>2</v>
      </c>
      <c r="V46" s="10" t="s">
        <v>522</v>
      </c>
      <c r="W46" s="10" t="s">
        <v>108</v>
      </c>
      <c r="X46" s="10" t="n">
        <v>2</v>
      </c>
      <c r="Y46" s="10" t="s">
        <v>523</v>
      </c>
      <c r="Z46" s="10" t="s">
        <v>524</v>
      </c>
      <c r="AA46" s="10" t="s">
        <v>72</v>
      </c>
      <c r="AB46" s="10" t="s">
        <v>73</v>
      </c>
      <c r="AC46" s="10" t="s">
        <v>94</v>
      </c>
      <c r="AD46" s="10" t="s">
        <v>95</v>
      </c>
      <c r="AE46" s="10" t="s">
        <v>62</v>
      </c>
      <c r="AF46" s="10" t="s">
        <v>77</v>
      </c>
      <c r="AG46" s="10" t="s">
        <v>126</v>
      </c>
      <c r="AH46" s="10" t="s">
        <v>393</v>
      </c>
    </row>
    <row r="47" customFormat="false" ht="102.2" hidden="false" customHeight="false" outlineLevel="0" collapsed="false">
      <c r="A47" s="10" t="s">
        <v>525</v>
      </c>
      <c r="B47" s="10" t="s">
        <v>526</v>
      </c>
      <c r="C47" s="10" t="s">
        <v>185</v>
      </c>
      <c r="D47" s="10" t="s">
        <v>527</v>
      </c>
      <c r="E47" s="10" t="s">
        <v>60</v>
      </c>
      <c r="F47" s="10" t="s">
        <v>528</v>
      </c>
      <c r="G47" s="10" t="s">
        <v>112</v>
      </c>
      <c r="H47" s="10" t="n">
        <v>3</v>
      </c>
      <c r="I47" s="10" t="s">
        <v>529</v>
      </c>
      <c r="J47" s="10" t="n">
        <v>3</v>
      </c>
      <c r="K47" s="10" t="s">
        <v>141</v>
      </c>
      <c r="L47" s="10" t="n">
        <v>2</v>
      </c>
      <c r="M47" s="10" t="n">
        <v>1</v>
      </c>
      <c r="N47" s="10" t="n">
        <v>3</v>
      </c>
      <c r="O47" s="10" t="n">
        <v>1</v>
      </c>
      <c r="P47" s="10" t="s">
        <v>65</v>
      </c>
      <c r="Q47" s="10" t="s">
        <v>169</v>
      </c>
      <c r="R47" s="10" t="s">
        <v>105</v>
      </c>
      <c r="S47" s="10" t="s">
        <v>170</v>
      </c>
      <c r="T47" s="10" t="s">
        <v>530</v>
      </c>
      <c r="U47" s="10" t="n">
        <v>0</v>
      </c>
      <c r="V47" s="10" t="s">
        <v>70</v>
      </c>
      <c r="W47" s="10" t="s">
        <v>69</v>
      </c>
      <c r="X47" s="10" t="n">
        <v>1</v>
      </c>
      <c r="Y47" s="10" t="s">
        <v>531</v>
      </c>
      <c r="Z47" s="10" t="s">
        <v>69</v>
      </c>
      <c r="AA47" s="10" t="s">
        <v>110</v>
      </c>
      <c r="AB47" s="10" t="s">
        <v>72</v>
      </c>
      <c r="AC47" s="10" t="s">
        <v>74</v>
      </c>
      <c r="AD47" s="10" t="s">
        <v>532</v>
      </c>
      <c r="AE47" s="10" t="s">
        <v>112</v>
      </c>
      <c r="AF47" s="10" t="s">
        <v>427</v>
      </c>
      <c r="AG47" s="10" t="s">
        <v>78</v>
      </c>
      <c r="AH47" s="10" t="s">
        <v>533</v>
      </c>
    </row>
    <row r="48" customFormat="false" ht="202.95" hidden="false" customHeight="false" outlineLevel="0" collapsed="false">
      <c r="A48" s="10" t="s">
        <v>534</v>
      </c>
      <c r="B48" s="10" t="s">
        <v>535</v>
      </c>
      <c r="C48" s="10" t="s">
        <v>321</v>
      </c>
      <c r="D48" s="10" t="s">
        <v>536</v>
      </c>
      <c r="E48" s="10" t="s">
        <v>60</v>
      </c>
      <c r="F48" s="10" t="s">
        <v>84</v>
      </c>
      <c r="G48" s="10" t="s">
        <v>62</v>
      </c>
      <c r="H48" s="10" t="n">
        <v>2</v>
      </c>
      <c r="I48" s="10" t="s">
        <v>520</v>
      </c>
      <c r="J48" s="10" t="n">
        <v>3</v>
      </c>
      <c r="K48" s="10" t="s">
        <v>537</v>
      </c>
      <c r="L48" s="10" t="n">
        <v>2</v>
      </c>
      <c r="M48" s="10" t="n">
        <v>1</v>
      </c>
      <c r="N48" s="10" t="n">
        <v>3</v>
      </c>
      <c r="O48" s="10" t="n">
        <v>1</v>
      </c>
      <c r="P48" s="10" t="s">
        <v>65</v>
      </c>
      <c r="Q48" s="10" t="s">
        <v>169</v>
      </c>
      <c r="R48" s="10" t="s">
        <v>105</v>
      </c>
      <c r="S48" s="10" t="s">
        <v>170</v>
      </c>
      <c r="T48" s="10" t="s">
        <v>538</v>
      </c>
      <c r="U48" s="10" t="n">
        <v>2</v>
      </c>
      <c r="V48" s="10" t="s">
        <v>539</v>
      </c>
      <c r="W48" s="10" t="s">
        <v>540</v>
      </c>
      <c r="X48" s="10" t="n">
        <v>1</v>
      </c>
      <c r="Y48" s="10" t="s">
        <v>541</v>
      </c>
      <c r="Z48" s="10" t="s">
        <v>69</v>
      </c>
      <c r="AA48" s="10" t="s">
        <v>72</v>
      </c>
      <c r="AB48" s="10" t="s">
        <v>73</v>
      </c>
      <c r="AC48" s="10" t="s">
        <v>94</v>
      </c>
      <c r="AD48" s="10" t="s">
        <v>95</v>
      </c>
      <c r="AE48" s="10" t="s">
        <v>62</v>
      </c>
      <c r="AF48" s="10" t="s">
        <v>77</v>
      </c>
      <c r="AG48" s="10" t="s">
        <v>126</v>
      </c>
      <c r="AH48" s="10" t="s">
        <v>328</v>
      </c>
    </row>
    <row r="49" customFormat="false" ht="135.8" hidden="false" customHeight="false" outlineLevel="0" collapsed="false">
      <c r="A49" s="10" t="s">
        <v>542</v>
      </c>
      <c r="B49" s="10" t="s">
        <v>543</v>
      </c>
      <c r="C49" s="10" t="s">
        <v>166</v>
      </c>
      <c r="D49" s="10" t="s">
        <v>544</v>
      </c>
      <c r="E49" s="10" t="s">
        <v>101</v>
      </c>
      <c r="F49" s="10" t="s">
        <v>545</v>
      </c>
      <c r="G49" s="10" t="s">
        <v>62</v>
      </c>
      <c r="H49" s="10" t="n">
        <v>3</v>
      </c>
      <c r="I49" s="10" t="s">
        <v>546</v>
      </c>
      <c r="J49" s="10" t="n">
        <v>2</v>
      </c>
      <c r="K49" s="10" t="s">
        <v>547</v>
      </c>
      <c r="L49" s="10" t="n">
        <v>1</v>
      </c>
      <c r="M49" s="10" t="n">
        <v>0</v>
      </c>
      <c r="N49" s="10" t="n">
        <v>0</v>
      </c>
      <c r="O49" s="10" t="n">
        <v>1</v>
      </c>
      <c r="P49" s="10" t="s">
        <v>87</v>
      </c>
      <c r="Q49" s="10" t="s">
        <v>104</v>
      </c>
      <c r="R49" s="10" t="s">
        <v>105</v>
      </c>
      <c r="S49" s="10" t="s">
        <v>106</v>
      </c>
      <c r="T49" s="10" t="s">
        <v>548</v>
      </c>
      <c r="U49" s="10" t="n">
        <v>0</v>
      </c>
      <c r="V49" s="10" t="s">
        <v>70</v>
      </c>
      <c r="W49" s="10" t="s">
        <v>69</v>
      </c>
      <c r="X49" s="10" t="n">
        <v>2</v>
      </c>
      <c r="Y49" s="10" t="s">
        <v>549</v>
      </c>
      <c r="Z49" s="10" t="s">
        <v>550</v>
      </c>
      <c r="AA49" s="10" t="s">
        <v>110</v>
      </c>
      <c r="AB49" s="10" t="s">
        <v>72</v>
      </c>
      <c r="AC49" s="10" t="s">
        <v>94</v>
      </c>
      <c r="AD49" s="10" t="s">
        <v>95</v>
      </c>
      <c r="AE49" s="10" t="s">
        <v>62</v>
      </c>
      <c r="AF49" s="10" t="s">
        <v>77</v>
      </c>
      <c r="AG49" s="10" t="s">
        <v>551</v>
      </c>
      <c r="AH49" s="10" t="s">
        <v>552</v>
      </c>
    </row>
    <row r="50" customFormat="false" ht="57.45" hidden="false" customHeight="false" outlineLevel="0" collapsed="false">
      <c r="A50" s="10" t="s">
        <v>553</v>
      </c>
      <c r="B50" s="10" t="s">
        <v>554</v>
      </c>
      <c r="C50" s="10" t="s">
        <v>555</v>
      </c>
      <c r="D50" s="10" t="s">
        <v>556</v>
      </c>
      <c r="E50" s="10" t="s">
        <v>101</v>
      </c>
      <c r="F50" s="10" t="s">
        <v>528</v>
      </c>
      <c r="G50" s="10" t="s">
        <v>112</v>
      </c>
      <c r="H50" s="10" t="n">
        <v>3</v>
      </c>
      <c r="I50" s="10" t="s">
        <v>557</v>
      </c>
      <c r="J50" s="10" t="n">
        <v>2</v>
      </c>
      <c r="K50" s="10" t="s">
        <v>558</v>
      </c>
      <c r="L50" s="10" t="n">
        <v>1</v>
      </c>
      <c r="M50" s="10" t="n">
        <v>0</v>
      </c>
      <c r="N50" s="10" t="n">
        <v>0</v>
      </c>
      <c r="O50" s="10" t="n">
        <v>1</v>
      </c>
      <c r="P50" s="10" t="s">
        <v>87</v>
      </c>
      <c r="Q50" s="10" t="s">
        <v>104</v>
      </c>
      <c r="R50" s="10" t="s">
        <v>105</v>
      </c>
      <c r="S50" s="10" t="s">
        <v>559</v>
      </c>
      <c r="T50" s="10" t="s">
        <v>560</v>
      </c>
      <c r="U50" s="10" t="n">
        <v>0</v>
      </c>
      <c r="V50" s="10" t="s">
        <v>70</v>
      </c>
      <c r="W50" s="10" t="s">
        <v>69</v>
      </c>
      <c r="X50" s="10" t="n">
        <v>2</v>
      </c>
      <c r="Y50" s="10" t="s">
        <v>561</v>
      </c>
      <c r="Z50" s="10" t="s">
        <v>562</v>
      </c>
      <c r="AA50" s="10" t="s">
        <v>110</v>
      </c>
      <c r="AB50" s="10" t="s">
        <v>72</v>
      </c>
      <c r="AC50" s="10" t="s">
        <v>94</v>
      </c>
      <c r="AD50" s="10" t="s">
        <v>95</v>
      </c>
      <c r="AE50" s="10" t="s">
        <v>62</v>
      </c>
      <c r="AF50" s="10" t="s">
        <v>77</v>
      </c>
      <c r="AG50" s="10" t="s">
        <v>126</v>
      </c>
      <c r="AH50" s="10" t="s">
        <v>552</v>
      </c>
    </row>
    <row r="51" customFormat="false" ht="113.4" hidden="false" customHeight="false" outlineLevel="0" collapsed="false">
      <c r="A51" s="10" t="s">
        <v>563</v>
      </c>
      <c r="B51" s="10" t="s">
        <v>564</v>
      </c>
      <c r="C51" s="10" t="s">
        <v>99</v>
      </c>
      <c r="D51" s="10" t="s">
        <v>565</v>
      </c>
      <c r="E51" s="10" t="s">
        <v>101</v>
      </c>
      <c r="F51" s="10" t="s">
        <v>566</v>
      </c>
      <c r="G51" s="10" t="s">
        <v>76</v>
      </c>
      <c r="H51" s="10" t="n">
        <v>2</v>
      </c>
      <c r="I51" s="10" t="s">
        <v>567</v>
      </c>
      <c r="J51" s="10" t="n">
        <v>3</v>
      </c>
      <c r="K51" s="10" t="s">
        <v>218</v>
      </c>
      <c r="L51" s="10" t="n">
        <v>1</v>
      </c>
      <c r="M51" s="10" t="n">
        <v>0</v>
      </c>
      <c r="N51" s="10" t="n">
        <v>0</v>
      </c>
      <c r="O51" s="10" t="n">
        <v>1</v>
      </c>
      <c r="P51" s="10" t="s">
        <v>87</v>
      </c>
      <c r="Q51" s="10" t="s">
        <v>104</v>
      </c>
      <c r="R51" s="10" t="s">
        <v>105</v>
      </c>
      <c r="S51" s="10" t="s">
        <v>106</v>
      </c>
      <c r="T51" s="10" t="s">
        <v>568</v>
      </c>
      <c r="U51" s="10" t="n">
        <v>0</v>
      </c>
      <c r="V51" s="10" t="s">
        <v>70</v>
      </c>
      <c r="W51" s="10" t="s">
        <v>69</v>
      </c>
      <c r="X51" s="10" t="n">
        <v>2</v>
      </c>
      <c r="Y51" s="10" t="s">
        <v>569</v>
      </c>
      <c r="Z51" s="10" t="s">
        <v>570</v>
      </c>
      <c r="AA51" s="10" t="s">
        <v>72</v>
      </c>
      <c r="AB51" s="10" t="s">
        <v>110</v>
      </c>
      <c r="AC51" s="10" t="s">
        <v>94</v>
      </c>
      <c r="AD51" s="10" t="s">
        <v>95</v>
      </c>
      <c r="AE51" s="10" t="s">
        <v>62</v>
      </c>
      <c r="AF51" s="10" t="s">
        <v>382</v>
      </c>
      <c r="AG51" s="10" t="s">
        <v>149</v>
      </c>
      <c r="AH51" s="10" t="s">
        <v>223</v>
      </c>
    </row>
    <row r="52" customFormat="false" ht="91" hidden="false" customHeight="false" outlineLevel="0" collapsed="false">
      <c r="A52" s="10" t="s">
        <v>571</v>
      </c>
      <c r="B52" s="10" t="s">
        <v>572</v>
      </c>
      <c r="C52" s="10" t="s">
        <v>130</v>
      </c>
      <c r="D52" s="10" t="s">
        <v>573</v>
      </c>
      <c r="E52" s="10" t="s">
        <v>60</v>
      </c>
      <c r="F52" s="10" t="s">
        <v>574</v>
      </c>
      <c r="G52" s="10" t="s">
        <v>62</v>
      </c>
      <c r="H52" s="10" t="n">
        <v>3</v>
      </c>
      <c r="I52" s="10" t="s">
        <v>575</v>
      </c>
      <c r="J52" s="10" t="n">
        <v>0</v>
      </c>
      <c r="K52" s="10" t="s">
        <v>275</v>
      </c>
      <c r="L52" s="10" t="n">
        <v>0</v>
      </c>
      <c r="M52" s="10" t="n">
        <v>0</v>
      </c>
      <c r="N52" s="10" t="n">
        <v>0</v>
      </c>
      <c r="O52" s="10" t="n">
        <v>0</v>
      </c>
      <c r="P52" s="10" t="s">
        <v>87</v>
      </c>
      <c r="Q52" s="10" t="s">
        <v>69</v>
      </c>
      <c r="R52" s="10" t="s">
        <v>87</v>
      </c>
      <c r="S52" s="10" t="s">
        <v>69</v>
      </c>
      <c r="T52" s="10" t="s">
        <v>69</v>
      </c>
      <c r="U52" s="10" t="n">
        <v>2</v>
      </c>
      <c r="V52" s="10" t="s">
        <v>92</v>
      </c>
      <c r="W52" s="10" t="s">
        <v>171</v>
      </c>
      <c r="X52" s="10" t="n">
        <v>1</v>
      </c>
      <c r="Y52" s="10" t="s">
        <v>576</v>
      </c>
      <c r="Z52" s="10" t="s">
        <v>69</v>
      </c>
      <c r="AA52" s="10" t="s">
        <v>110</v>
      </c>
      <c r="AB52" s="10" t="s">
        <v>70</v>
      </c>
      <c r="AC52" s="10" t="s">
        <v>94</v>
      </c>
      <c r="AD52" s="10" t="s">
        <v>95</v>
      </c>
      <c r="AE52" s="10" t="s">
        <v>62</v>
      </c>
      <c r="AF52" s="10" t="s">
        <v>77</v>
      </c>
      <c r="AG52" s="10" t="s">
        <v>78</v>
      </c>
      <c r="AH52" s="10" t="s">
        <v>577</v>
      </c>
    </row>
    <row r="53" customFormat="false" ht="46.25" hidden="false" customHeight="false" outlineLevel="0" collapsed="false">
      <c r="A53" s="10" t="s">
        <v>578</v>
      </c>
      <c r="B53" s="10" t="s">
        <v>579</v>
      </c>
      <c r="C53" s="10" t="s">
        <v>321</v>
      </c>
      <c r="D53" s="10" t="s">
        <v>580</v>
      </c>
      <c r="E53" s="10" t="s">
        <v>101</v>
      </c>
      <c r="F53" s="10" t="s">
        <v>61</v>
      </c>
      <c r="G53" s="10" t="s">
        <v>69</v>
      </c>
      <c r="H53" s="10" t="n">
        <v>1</v>
      </c>
      <c r="I53" s="10" t="s">
        <v>581</v>
      </c>
      <c r="J53" s="10" t="n">
        <v>3</v>
      </c>
      <c r="K53" s="10" t="s">
        <v>218</v>
      </c>
      <c r="L53" s="10" t="n">
        <v>1</v>
      </c>
      <c r="M53" s="10" t="n">
        <v>1</v>
      </c>
      <c r="N53" s="10" t="n">
        <v>2</v>
      </c>
      <c r="O53" s="10" t="n">
        <v>0</v>
      </c>
      <c r="P53" s="10" t="s">
        <v>443</v>
      </c>
      <c r="Q53" s="10" t="s">
        <v>88</v>
      </c>
      <c r="R53" s="10" t="s">
        <v>87</v>
      </c>
      <c r="S53" s="10" t="s">
        <v>90</v>
      </c>
      <c r="T53" s="10" t="s">
        <v>69</v>
      </c>
      <c r="U53" s="10" t="n">
        <v>0</v>
      </c>
      <c r="V53" s="10" t="s">
        <v>70</v>
      </c>
      <c r="W53" s="10" t="s">
        <v>69</v>
      </c>
      <c r="X53" s="10" t="n">
        <v>1</v>
      </c>
      <c r="Y53" s="10" t="s">
        <v>582</v>
      </c>
      <c r="Z53" s="10" t="s">
        <v>583</v>
      </c>
      <c r="AA53" s="10" t="s">
        <v>72</v>
      </c>
      <c r="AB53" s="10" t="s">
        <v>70</v>
      </c>
      <c r="AC53" s="10" t="s">
        <v>94</v>
      </c>
      <c r="AD53" s="10" t="s">
        <v>95</v>
      </c>
      <c r="AE53" s="10" t="s">
        <v>62</v>
      </c>
      <c r="AF53" s="10" t="s">
        <v>77</v>
      </c>
      <c r="AG53" s="10" t="s">
        <v>126</v>
      </c>
      <c r="AH53" s="10" t="s">
        <v>584</v>
      </c>
    </row>
    <row r="54" customFormat="false" ht="135.8" hidden="false" customHeight="false" outlineLevel="0" collapsed="false">
      <c r="A54" s="10" t="s">
        <v>585</v>
      </c>
      <c r="B54" s="10" t="s">
        <v>586</v>
      </c>
      <c r="C54" s="10" t="s">
        <v>321</v>
      </c>
      <c r="D54" s="10" t="s">
        <v>587</v>
      </c>
      <c r="E54" s="10" t="s">
        <v>412</v>
      </c>
      <c r="F54" s="10" t="s">
        <v>588</v>
      </c>
      <c r="G54" s="10" t="s">
        <v>62</v>
      </c>
      <c r="H54" s="10" t="n">
        <v>3</v>
      </c>
      <c r="I54" s="10" t="s">
        <v>589</v>
      </c>
      <c r="J54" s="10" t="n">
        <v>3</v>
      </c>
      <c r="K54" s="10" t="s">
        <v>141</v>
      </c>
      <c r="L54" s="10" t="n">
        <v>2</v>
      </c>
      <c r="M54" s="10" t="n">
        <v>1</v>
      </c>
      <c r="N54" s="10" t="n">
        <v>3</v>
      </c>
      <c r="O54" s="10" t="n">
        <v>2</v>
      </c>
      <c r="P54" s="10" t="s">
        <v>65</v>
      </c>
      <c r="Q54" s="10" t="s">
        <v>464</v>
      </c>
      <c r="R54" s="10" t="s">
        <v>590</v>
      </c>
      <c r="S54" s="10" t="s">
        <v>591</v>
      </c>
      <c r="T54" s="10" t="s">
        <v>121</v>
      </c>
      <c r="U54" s="10" t="n">
        <v>2</v>
      </c>
      <c r="V54" s="10" t="s">
        <v>592</v>
      </c>
      <c r="W54" s="10" t="s">
        <v>593</v>
      </c>
      <c r="X54" s="10" t="n">
        <v>2</v>
      </c>
      <c r="Y54" s="10" t="s">
        <v>594</v>
      </c>
      <c r="Z54" s="10" t="s">
        <v>595</v>
      </c>
      <c r="AA54" s="10" t="s">
        <v>110</v>
      </c>
      <c r="AB54" s="10" t="s">
        <v>72</v>
      </c>
      <c r="AC54" s="10" t="s">
        <v>74</v>
      </c>
      <c r="AD54" s="10" t="s">
        <v>532</v>
      </c>
      <c r="AE54" s="10" t="s">
        <v>112</v>
      </c>
      <c r="AF54" s="10" t="s">
        <v>77</v>
      </c>
      <c r="AG54" s="10" t="s">
        <v>126</v>
      </c>
      <c r="AH54" s="10" t="s">
        <v>596</v>
      </c>
    </row>
    <row r="55" customFormat="false" ht="68.65" hidden="false" customHeight="false" outlineLevel="0" collapsed="false">
      <c r="A55" s="10" t="s">
        <v>597</v>
      </c>
      <c r="B55" s="10" t="s">
        <v>598</v>
      </c>
      <c r="C55" s="10" t="s">
        <v>130</v>
      </c>
      <c r="D55" s="10" t="s">
        <v>599</v>
      </c>
      <c r="E55" s="10" t="s">
        <v>101</v>
      </c>
      <c r="F55" s="10" t="s">
        <v>600</v>
      </c>
      <c r="G55" s="10" t="s">
        <v>76</v>
      </c>
      <c r="H55" s="10" t="n">
        <v>2</v>
      </c>
      <c r="I55" s="10" t="s">
        <v>601</v>
      </c>
      <c r="J55" s="10" t="n">
        <v>3</v>
      </c>
      <c r="K55" s="10" t="s">
        <v>333</v>
      </c>
      <c r="L55" s="10" t="n">
        <v>2</v>
      </c>
      <c r="M55" s="10" t="n">
        <v>0</v>
      </c>
      <c r="N55" s="10" t="n">
        <v>2</v>
      </c>
      <c r="O55" s="10" t="n">
        <v>1</v>
      </c>
      <c r="P55" s="10" t="s">
        <v>87</v>
      </c>
      <c r="Q55" s="10" t="s">
        <v>602</v>
      </c>
      <c r="R55" s="10" t="s">
        <v>67</v>
      </c>
      <c r="S55" s="10" t="s">
        <v>603</v>
      </c>
      <c r="T55" s="10" t="s">
        <v>604</v>
      </c>
      <c r="U55" s="10" t="n">
        <v>0</v>
      </c>
      <c r="V55" s="10" t="s">
        <v>70</v>
      </c>
      <c r="W55" s="10" t="s">
        <v>69</v>
      </c>
      <c r="X55" s="10" t="n">
        <v>1</v>
      </c>
      <c r="Y55" s="10" t="s">
        <v>605</v>
      </c>
      <c r="Z55" s="10" t="s">
        <v>69</v>
      </c>
      <c r="AA55" s="10" t="s">
        <v>72</v>
      </c>
      <c r="AB55" s="10" t="s">
        <v>73</v>
      </c>
      <c r="AC55" s="10" t="s">
        <v>94</v>
      </c>
      <c r="AD55" s="10" t="s">
        <v>95</v>
      </c>
      <c r="AE55" s="10" t="s">
        <v>62</v>
      </c>
      <c r="AF55" s="10" t="s">
        <v>77</v>
      </c>
      <c r="AG55" s="10" t="s">
        <v>126</v>
      </c>
      <c r="AH55" s="10" t="s">
        <v>393</v>
      </c>
    </row>
    <row r="56" customFormat="false" ht="68.65" hidden="false" customHeight="false" outlineLevel="0" collapsed="false">
      <c r="A56" s="10" t="s">
        <v>606</v>
      </c>
      <c r="B56" s="10" t="s">
        <v>607</v>
      </c>
      <c r="C56" s="10" t="s">
        <v>608</v>
      </c>
      <c r="D56" s="10" t="s">
        <v>609</v>
      </c>
      <c r="E56" s="10" t="s">
        <v>60</v>
      </c>
      <c r="F56" s="10" t="s">
        <v>610</v>
      </c>
      <c r="G56" s="10" t="s">
        <v>62</v>
      </c>
      <c r="H56" s="10" t="n">
        <v>2</v>
      </c>
      <c r="I56" s="10" t="s">
        <v>611</v>
      </c>
      <c r="J56" s="10" t="n">
        <v>2</v>
      </c>
      <c r="K56" s="10" t="s">
        <v>612</v>
      </c>
      <c r="L56" s="10" t="n">
        <v>2</v>
      </c>
      <c r="M56" s="10" t="n">
        <v>1</v>
      </c>
      <c r="N56" s="10" t="n">
        <v>3</v>
      </c>
      <c r="O56" s="10" t="n">
        <v>1</v>
      </c>
      <c r="P56" s="10" t="s">
        <v>65</v>
      </c>
      <c r="Q56" s="10" t="s">
        <v>613</v>
      </c>
      <c r="R56" s="10" t="s">
        <v>105</v>
      </c>
      <c r="S56" s="10" t="s">
        <v>614</v>
      </c>
      <c r="T56" s="10" t="s">
        <v>121</v>
      </c>
      <c r="U56" s="10" t="n">
        <v>2</v>
      </c>
      <c r="V56" s="10" t="s">
        <v>615</v>
      </c>
      <c r="W56" s="10" t="s">
        <v>171</v>
      </c>
      <c r="X56" s="10" t="n">
        <v>2</v>
      </c>
      <c r="Y56" s="10" t="s">
        <v>616</v>
      </c>
      <c r="Z56" s="10" t="s">
        <v>617</v>
      </c>
      <c r="AA56" s="10" t="s">
        <v>110</v>
      </c>
      <c r="AB56" s="10" t="s">
        <v>72</v>
      </c>
      <c r="AC56" s="10" t="s">
        <v>74</v>
      </c>
      <c r="AD56" s="10" t="s">
        <v>302</v>
      </c>
      <c r="AE56" s="10" t="s">
        <v>76</v>
      </c>
      <c r="AF56" s="10" t="s">
        <v>77</v>
      </c>
      <c r="AG56" s="10" t="s">
        <v>360</v>
      </c>
      <c r="AH56" s="10" t="s">
        <v>618</v>
      </c>
    </row>
    <row r="57" customFormat="false" ht="46.25" hidden="false" customHeight="false" outlineLevel="0" collapsed="false">
      <c r="A57" s="10" t="s">
        <v>619</v>
      </c>
      <c r="B57" s="10" t="s">
        <v>620</v>
      </c>
      <c r="C57" s="10" t="s">
        <v>215</v>
      </c>
      <c r="D57" s="10" t="s">
        <v>621</v>
      </c>
      <c r="E57" s="10" t="s">
        <v>101</v>
      </c>
      <c r="F57" s="10" t="s">
        <v>84</v>
      </c>
      <c r="G57" s="10" t="s">
        <v>62</v>
      </c>
      <c r="H57" s="10" t="n">
        <v>2</v>
      </c>
      <c r="I57" s="10" t="s">
        <v>622</v>
      </c>
      <c r="J57" s="10" t="n">
        <v>3</v>
      </c>
      <c r="K57" s="10" t="s">
        <v>218</v>
      </c>
      <c r="L57" s="10" t="n">
        <v>2</v>
      </c>
      <c r="M57" s="10" t="n">
        <v>2</v>
      </c>
      <c r="N57" s="10" t="n">
        <v>3</v>
      </c>
      <c r="O57" s="10" t="n">
        <v>1</v>
      </c>
      <c r="P57" s="10" t="s">
        <v>623</v>
      </c>
      <c r="Q57" s="10" t="s">
        <v>479</v>
      </c>
      <c r="R57" s="10" t="s">
        <v>105</v>
      </c>
      <c r="S57" s="10" t="s">
        <v>480</v>
      </c>
      <c r="T57" s="10" t="s">
        <v>624</v>
      </c>
      <c r="U57" s="10" t="n">
        <v>2</v>
      </c>
      <c r="V57" s="10" t="s">
        <v>92</v>
      </c>
      <c r="W57" s="10" t="s">
        <v>171</v>
      </c>
      <c r="X57" s="10" t="n">
        <v>1</v>
      </c>
      <c r="Y57" s="10" t="s">
        <v>625</v>
      </c>
      <c r="Z57" s="10" t="s">
        <v>69</v>
      </c>
      <c r="AA57" s="10" t="s">
        <v>72</v>
      </c>
      <c r="AB57" s="10" t="s">
        <v>73</v>
      </c>
      <c r="AC57" s="10" t="s">
        <v>94</v>
      </c>
      <c r="AD57" s="10" t="s">
        <v>95</v>
      </c>
      <c r="AE57" s="10" t="s">
        <v>62</v>
      </c>
      <c r="AF57" s="10" t="s">
        <v>77</v>
      </c>
      <c r="AG57" s="10" t="s">
        <v>626</v>
      </c>
      <c r="AH57" s="10" t="s">
        <v>627</v>
      </c>
    </row>
    <row r="58" customFormat="false" ht="135.8" hidden="false" customHeight="false" outlineLevel="0" collapsed="false">
      <c r="A58" s="10" t="s">
        <v>628</v>
      </c>
      <c r="B58" s="10" t="s">
        <v>629</v>
      </c>
      <c r="C58" s="10" t="s">
        <v>153</v>
      </c>
      <c r="D58" s="10" t="s">
        <v>630</v>
      </c>
      <c r="E58" s="10" t="s">
        <v>60</v>
      </c>
      <c r="F58" s="10" t="s">
        <v>631</v>
      </c>
      <c r="G58" s="10" t="s">
        <v>62</v>
      </c>
      <c r="H58" s="10" t="n">
        <v>2</v>
      </c>
      <c r="I58" s="10" t="s">
        <v>632</v>
      </c>
      <c r="J58" s="10" t="n">
        <v>3</v>
      </c>
      <c r="K58" s="10" t="s">
        <v>141</v>
      </c>
      <c r="L58" s="10" t="n">
        <v>2</v>
      </c>
      <c r="M58" s="10" t="n">
        <v>2</v>
      </c>
      <c r="N58" s="10" t="n">
        <v>1</v>
      </c>
      <c r="O58" s="10" t="n">
        <v>1</v>
      </c>
      <c r="P58" s="10" t="s">
        <v>633</v>
      </c>
      <c r="Q58" s="10" t="s">
        <v>634</v>
      </c>
      <c r="R58" s="10" t="s">
        <v>105</v>
      </c>
      <c r="S58" s="10" t="s">
        <v>635</v>
      </c>
      <c r="T58" s="10" t="s">
        <v>121</v>
      </c>
      <c r="U58" s="10" t="n">
        <v>0</v>
      </c>
      <c r="V58" s="10" t="s">
        <v>70</v>
      </c>
      <c r="W58" s="10" t="s">
        <v>636</v>
      </c>
      <c r="X58" s="10" t="n">
        <v>2</v>
      </c>
      <c r="Y58" s="10" t="s">
        <v>637</v>
      </c>
      <c r="Z58" s="10" t="s">
        <v>638</v>
      </c>
      <c r="AA58" s="10" t="s">
        <v>72</v>
      </c>
      <c r="AB58" s="10" t="s">
        <v>73</v>
      </c>
      <c r="AC58" s="10" t="s">
        <v>94</v>
      </c>
      <c r="AD58" s="10" t="s">
        <v>95</v>
      </c>
      <c r="AE58" s="10" t="s">
        <v>62</v>
      </c>
      <c r="AF58" s="10" t="s">
        <v>77</v>
      </c>
      <c r="AG58" s="10" t="s">
        <v>126</v>
      </c>
      <c r="AH58" s="10" t="s">
        <v>639</v>
      </c>
    </row>
    <row r="59" customFormat="false" ht="46.25" hidden="false" customHeight="false" outlineLevel="0" collapsed="false">
      <c r="A59" s="10" t="s">
        <v>640</v>
      </c>
      <c r="B59" s="10" t="s">
        <v>641</v>
      </c>
      <c r="C59" s="10" t="s">
        <v>58</v>
      </c>
      <c r="D59" s="10" t="s">
        <v>642</v>
      </c>
      <c r="E59" s="10" t="s">
        <v>101</v>
      </c>
      <c r="F59" s="10" t="s">
        <v>643</v>
      </c>
      <c r="G59" s="10" t="s">
        <v>76</v>
      </c>
      <c r="H59" s="10" t="n">
        <v>3</v>
      </c>
      <c r="I59" s="10" t="s">
        <v>644</v>
      </c>
      <c r="J59" s="10" t="n">
        <v>2</v>
      </c>
      <c r="K59" s="10" t="s">
        <v>248</v>
      </c>
      <c r="L59" s="10" t="n">
        <v>1</v>
      </c>
      <c r="M59" s="10" t="n">
        <v>0</v>
      </c>
      <c r="N59" s="10" t="n">
        <v>0</v>
      </c>
      <c r="O59" s="10" t="n">
        <v>1</v>
      </c>
      <c r="P59" s="10" t="s">
        <v>87</v>
      </c>
      <c r="Q59" s="10" t="s">
        <v>104</v>
      </c>
      <c r="R59" s="10" t="s">
        <v>67</v>
      </c>
      <c r="S59" s="10" t="s">
        <v>106</v>
      </c>
      <c r="T59" s="10" t="s">
        <v>645</v>
      </c>
      <c r="U59" s="10" t="n">
        <v>0</v>
      </c>
      <c r="V59" s="10" t="s">
        <v>70</v>
      </c>
      <c r="W59" s="10" t="s">
        <v>69</v>
      </c>
      <c r="X59" s="10" t="n">
        <v>1</v>
      </c>
      <c r="Y59" s="10" t="s">
        <v>646</v>
      </c>
      <c r="Z59" s="10" t="s">
        <v>69</v>
      </c>
      <c r="AA59" s="10" t="s">
        <v>110</v>
      </c>
      <c r="AB59" s="10" t="s">
        <v>72</v>
      </c>
      <c r="AC59" s="10" t="s">
        <v>94</v>
      </c>
      <c r="AD59" s="10" t="s">
        <v>95</v>
      </c>
      <c r="AE59" s="10" t="s">
        <v>62</v>
      </c>
      <c r="AF59" s="10" t="s">
        <v>647</v>
      </c>
      <c r="AG59" s="10" t="s">
        <v>648</v>
      </c>
      <c r="AH59" s="10" t="s">
        <v>552</v>
      </c>
    </row>
    <row r="60" customFormat="false" ht="35.05" hidden="false" customHeight="false" outlineLevel="0" collapsed="false">
      <c r="A60" s="10" t="s">
        <v>649</v>
      </c>
      <c r="B60" s="10" t="s">
        <v>650</v>
      </c>
      <c r="C60" s="10" t="s">
        <v>130</v>
      </c>
      <c r="D60" s="10" t="s">
        <v>651</v>
      </c>
      <c r="E60" s="10" t="s">
        <v>101</v>
      </c>
      <c r="F60" s="10" t="s">
        <v>652</v>
      </c>
      <c r="G60" s="10" t="s">
        <v>76</v>
      </c>
      <c r="H60" s="10" t="n">
        <v>2</v>
      </c>
      <c r="I60" s="10" t="s">
        <v>653</v>
      </c>
      <c r="J60" s="10" t="n">
        <v>3</v>
      </c>
      <c r="K60" s="10" t="s">
        <v>654</v>
      </c>
      <c r="L60" s="10" t="n">
        <v>2</v>
      </c>
      <c r="M60" s="10" t="n">
        <v>0</v>
      </c>
      <c r="N60" s="10" t="n">
        <v>2</v>
      </c>
      <c r="O60" s="10" t="n">
        <v>1</v>
      </c>
      <c r="P60" s="10" t="s">
        <v>87</v>
      </c>
      <c r="Q60" s="10" t="s">
        <v>389</v>
      </c>
      <c r="R60" s="10" t="s">
        <v>105</v>
      </c>
      <c r="S60" s="10" t="s">
        <v>390</v>
      </c>
      <c r="T60" s="10" t="s">
        <v>655</v>
      </c>
      <c r="U60" s="10" t="n">
        <v>0</v>
      </c>
      <c r="V60" s="10" t="s">
        <v>70</v>
      </c>
      <c r="W60" s="10" t="s">
        <v>69</v>
      </c>
      <c r="X60" s="10" t="n">
        <v>1</v>
      </c>
      <c r="Y60" s="10" t="s">
        <v>656</v>
      </c>
      <c r="Z60" s="10" t="s">
        <v>69</v>
      </c>
      <c r="AA60" s="10" t="s">
        <v>72</v>
      </c>
      <c r="AB60" s="10" t="s">
        <v>73</v>
      </c>
      <c r="AC60" s="10" t="s">
        <v>94</v>
      </c>
      <c r="AD60" s="10" t="s">
        <v>95</v>
      </c>
      <c r="AE60" s="10" t="s">
        <v>62</v>
      </c>
      <c r="AF60" s="10" t="s">
        <v>382</v>
      </c>
      <c r="AG60" s="10" t="s">
        <v>126</v>
      </c>
      <c r="AH60" s="10" t="s">
        <v>393</v>
      </c>
    </row>
    <row r="61" customFormat="false" ht="68.65" hidden="false" customHeight="false" outlineLevel="0" collapsed="false">
      <c r="A61" s="10" t="s">
        <v>657</v>
      </c>
      <c r="B61" s="10" t="s">
        <v>658</v>
      </c>
      <c r="C61" s="10" t="s">
        <v>58</v>
      </c>
      <c r="D61" s="10" t="s">
        <v>659</v>
      </c>
      <c r="E61" s="10" t="s">
        <v>101</v>
      </c>
      <c r="F61" s="10" t="s">
        <v>660</v>
      </c>
      <c r="G61" s="10" t="s">
        <v>76</v>
      </c>
      <c r="H61" s="10" t="n">
        <v>2</v>
      </c>
      <c r="I61" s="10" t="s">
        <v>661</v>
      </c>
      <c r="J61" s="10" t="n">
        <v>3</v>
      </c>
      <c r="K61" s="10" t="s">
        <v>654</v>
      </c>
      <c r="L61" s="10" t="n">
        <v>1</v>
      </c>
      <c r="M61" s="10" t="n">
        <v>0</v>
      </c>
      <c r="N61" s="10" t="n">
        <v>0</v>
      </c>
      <c r="O61" s="10" t="n">
        <v>1</v>
      </c>
      <c r="P61" s="10" t="s">
        <v>87</v>
      </c>
      <c r="Q61" s="10" t="s">
        <v>104</v>
      </c>
      <c r="R61" s="10" t="s">
        <v>67</v>
      </c>
      <c r="S61" s="10" t="s">
        <v>106</v>
      </c>
      <c r="T61" s="10" t="s">
        <v>662</v>
      </c>
      <c r="U61" s="10" t="n">
        <v>1</v>
      </c>
      <c r="V61" s="10" t="s">
        <v>663</v>
      </c>
      <c r="W61" s="10" t="s">
        <v>69</v>
      </c>
      <c r="X61" s="10" t="n">
        <v>1</v>
      </c>
      <c r="Y61" s="10" t="s">
        <v>664</v>
      </c>
      <c r="Z61" s="10" t="s">
        <v>69</v>
      </c>
      <c r="AA61" s="10" t="s">
        <v>72</v>
      </c>
      <c r="AB61" s="10" t="s">
        <v>110</v>
      </c>
      <c r="AC61" s="10" t="s">
        <v>94</v>
      </c>
      <c r="AD61" s="10" t="s">
        <v>95</v>
      </c>
      <c r="AE61" s="10" t="s">
        <v>62</v>
      </c>
      <c r="AF61" s="10" t="s">
        <v>382</v>
      </c>
      <c r="AG61" s="10" t="s">
        <v>126</v>
      </c>
      <c r="AH61" s="10" t="s">
        <v>223</v>
      </c>
    </row>
    <row r="62" customFormat="false" ht="57.45" hidden="false" customHeight="false" outlineLevel="0" collapsed="false">
      <c r="A62" s="10" t="s">
        <v>665</v>
      </c>
      <c r="B62" s="10" t="s">
        <v>666</v>
      </c>
      <c r="C62" s="10" t="s">
        <v>312</v>
      </c>
      <c r="D62" s="10" t="s">
        <v>667</v>
      </c>
      <c r="E62" s="10" t="s">
        <v>101</v>
      </c>
      <c r="F62" s="10" t="s">
        <v>668</v>
      </c>
      <c r="G62" s="10" t="s">
        <v>76</v>
      </c>
      <c r="H62" s="10" t="n">
        <v>3</v>
      </c>
      <c r="I62" s="10" t="s">
        <v>669</v>
      </c>
      <c r="J62" s="10" t="n">
        <v>2</v>
      </c>
      <c r="K62" s="10" t="s">
        <v>670</v>
      </c>
      <c r="L62" s="10" t="n">
        <v>1</v>
      </c>
      <c r="M62" s="10" t="n">
        <v>1</v>
      </c>
      <c r="N62" s="10" t="n">
        <v>0</v>
      </c>
      <c r="O62" s="10" t="n">
        <v>1</v>
      </c>
      <c r="P62" s="10" t="s">
        <v>671</v>
      </c>
      <c r="Q62" s="10" t="s">
        <v>104</v>
      </c>
      <c r="R62" s="10" t="s">
        <v>67</v>
      </c>
      <c r="S62" s="10" t="s">
        <v>106</v>
      </c>
      <c r="T62" s="10" t="s">
        <v>672</v>
      </c>
      <c r="U62" s="10" t="n">
        <v>0</v>
      </c>
      <c r="V62" s="10" t="s">
        <v>70</v>
      </c>
      <c r="W62" s="10" t="s">
        <v>69</v>
      </c>
      <c r="X62" s="10" t="n">
        <v>2</v>
      </c>
      <c r="Y62" s="10" t="s">
        <v>673</v>
      </c>
      <c r="Z62" s="10" t="s">
        <v>674</v>
      </c>
      <c r="AA62" s="10" t="s">
        <v>110</v>
      </c>
      <c r="AB62" s="10" t="s">
        <v>72</v>
      </c>
      <c r="AC62" s="10" t="s">
        <v>94</v>
      </c>
      <c r="AD62" s="10" t="s">
        <v>95</v>
      </c>
      <c r="AE62" s="10" t="s">
        <v>62</v>
      </c>
      <c r="AF62" s="10" t="s">
        <v>77</v>
      </c>
      <c r="AG62" s="10" t="s">
        <v>126</v>
      </c>
      <c r="AH62" s="10" t="s">
        <v>192</v>
      </c>
    </row>
    <row r="63" customFormat="false" ht="46.25" hidden="false" customHeight="false" outlineLevel="0" collapsed="false">
      <c r="A63" s="10" t="s">
        <v>675</v>
      </c>
      <c r="B63" s="10" t="s">
        <v>676</v>
      </c>
      <c r="C63" s="10" t="s">
        <v>99</v>
      </c>
      <c r="D63" s="10" t="s">
        <v>677</v>
      </c>
      <c r="E63" s="10" t="s">
        <v>101</v>
      </c>
      <c r="F63" s="10" t="s">
        <v>678</v>
      </c>
      <c r="G63" s="10" t="s">
        <v>76</v>
      </c>
      <c r="H63" s="10" t="n">
        <v>2</v>
      </c>
      <c r="I63" s="10" t="s">
        <v>679</v>
      </c>
      <c r="J63" s="10" t="n">
        <v>2</v>
      </c>
      <c r="K63" s="10" t="s">
        <v>680</v>
      </c>
      <c r="L63" s="10" t="n">
        <v>1</v>
      </c>
      <c r="M63" s="10" t="n">
        <v>0</v>
      </c>
      <c r="N63" s="10" t="n">
        <v>0</v>
      </c>
      <c r="O63" s="10" t="n">
        <v>1</v>
      </c>
      <c r="P63" s="10" t="s">
        <v>87</v>
      </c>
      <c r="Q63" s="10" t="s">
        <v>104</v>
      </c>
      <c r="R63" s="10" t="s">
        <v>67</v>
      </c>
      <c r="S63" s="10" t="s">
        <v>106</v>
      </c>
      <c r="T63" s="10" t="s">
        <v>69</v>
      </c>
      <c r="U63" s="10" t="n">
        <v>0</v>
      </c>
      <c r="V63" s="10" t="s">
        <v>70</v>
      </c>
      <c r="W63" s="10" t="s">
        <v>69</v>
      </c>
      <c r="X63" s="10" t="n">
        <v>2</v>
      </c>
      <c r="Y63" s="10" t="s">
        <v>681</v>
      </c>
      <c r="Z63" s="10" t="s">
        <v>682</v>
      </c>
      <c r="AA63" s="10" t="s">
        <v>72</v>
      </c>
      <c r="AB63" s="10" t="s">
        <v>110</v>
      </c>
      <c r="AC63" s="10" t="s">
        <v>74</v>
      </c>
      <c r="AD63" s="10" t="s">
        <v>75</v>
      </c>
      <c r="AE63" s="10" t="s">
        <v>76</v>
      </c>
      <c r="AF63" s="10" t="s">
        <v>77</v>
      </c>
      <c r="AG63" s="10" t="s">
        <v>162</v>
      </c>
      <c r="AH63" s="10" t="s">
        <v>683</v>
      </c>
    </row>
    <row r="64" customFormat="false" ht="46.25" hidden="false" customHeight="false" outlineLevel="0" collapsed="false">
      <c r="A64" s="10" t="s">
        <v>684</v>
      </c>
      <c r="B64" s="10" t="s">
        <v>685</v>
      </c>
      <c r="C64" s="10" t="s">
        <v>185</v>
      </c>
      <c r="D64" s="10" t="s">
        <v>686</v>
      </c>
      <c r="E64" s="10" t="s">
        <v>101</v>
      </c>
      <c r="F64" s="10" t="s">
        <v>84</v>
      </c>
      <c r="G64" s="10" t="s">
        <v>62</v>
      </c>
      <c r="H64" s="10" t="n">
        <v>1</v>
      </c>
      <c r="I64" s="10" t="s">
        <v>85</v>
      </c>
      <c r="J64" s="10" t="n">
        <v>2</v>
      </c>
      <c r="K64" s="10" t="s">
        <v>228</v>
      </c>
      <c r="L64" s="10" t="n">
        <v>2</v>
      </c>
      <c r="M64" s="10" t="n">
        <v>0</v>
      </c>
      <c r="N64" s="10" t="n">
        <v>2</v>
      </c>
      <c r="O64" s="10" t="n">
        <v>1</v>
      </c>
      <c r="P64" s="10" t="s">
        <v>87</v>
      </c>
      <c r="Q64" s="10" t="s">
        <v>389</v>
      </c>
      <c r="R64" s="10" t="s">
        <v>105</v>
      </c>
      <c r="S64" s="10" t="s">
        <v>390</v>
      </c>
      <c r="T64" s="10" t="s">
        <v>121</v>
      </c>
      <c r="U64" s="10" t="n">
        <v>2</v>
      </c>
      <c r="V64" s="10" t="s">
        <v>687</v>
      </c>
      <c r="W64" s="10" t="s">
        <v>108</v>
      </c>
      <c r="X64" s="10" t="n">
        <v>1</v>
      </c>
      <c r="Y64" s="10" t="s">
        <v>688</v>
      </c>
      <c r="Z64" s="10" t="s">
        <v>69</v>
      </c>
      <c r="AA64" s="10" t="s">
        <v>72</v>
      </c>
      <c r="AB64" s="10" t="s">
        <v>73</v>
      </c>
      <c r="AC64" s="10" t="s">
        <v>74</v>
      </c>
      <c r="AD64" s="10" t="s">
        <v>75</v>
      </c>
      <c r="AE64" s="10" t="s">
        <v>76</v>
      </c>
      <c r="AF64" s="10" t="s">
        <v>77</v>
      </c>
      <c r="AG64" s="10" t="s">
        <v>126</v>
      </c>
      <c r="AH64" s="10" t="s">
        <v>689</v>
      </c>
    </row>
    <row r="65" customFormat="false" ht="91" hidden="false" customHeight="false" outlineLevel="0" collapsed="false">
      <c r="A65" s="10" t="s">
        <v>690</v>
      </c>
      <c r="B65" s="10" t="s">
        <v>691</v>
      </c>
      <c r="C65" s="10" t="s">
        <v>692</v>
      </c>
      <c r="D65" s="10" t="s">
        <v>693</v>
      </c>
      <c r="E65" s="10" t="s">
        <v>101</v>
      </c>
      <c r="F65" s="10" t="s">
        <v>61</v>
      </c>
      <c r="G65" s="10" t="s">
        <v>69</v>
      </c>
      <c r="H65" s="10" t="n">
        <v>2</v>
      </c>
      <c r="I65" s="10" t="s">
        <v>694</v>
      </c>
      <c r="J65" s="10" t="n">
        <v>2</v>
      </c>
      <c r="K65" s="10" t="s">
        <v>695</v>
      </c>
      <c r="L65" s="10" t="n">
        <v>1</v>
      </c>
      <c r="M65" s="10" t="n">
        <v>0</v>
      </c>
      <c r="N65" s="10" t="n">
        <v>0</v>
      </c>
      <c r="O65" s="10" t="n">
        <v>1</v>
      </c>
      <c r="P65" s="10" t="s">
        <v>87</v>
      </c>
      <c r="Q65" s="10" t="s">
        <v>104</v>
      </c>
      <c r="R65" s="10" t="s">
        <v>105</v>
      </c>
      <c r="S65" s="10" t="s">
        <v>696</v>
      </c>
      <c r="T65" s="10" t="s">
        <v>697</v>
      </c>
      <c r="U65" s="10" t="n">
        <v>0</v>
      </c>
      <c r="V65" s="10" t="s">
        <v>70</v>
      </c>
      <c r="W65" s="10" t="s">
        <v>69</v>
      </c>
      <c r="X65" s="10" t="n">
        <v>2</v>
      </c>
      <c r="Y65" s="10" t="s">
        <v>698</v>
      </c>
      <c r="Z65" s="10" t="s">
        <v>699</v>
      </c>
      <c r="AA65" s="10" t="s">
        <v>110</v>
      </c>
      <c r="AB65" s="10" t="s">
        <v>72</v>
      </c>
      <c r="AC65" s="10" t="s">
        <v>74</v>
      </c>
      <c r="AD65" s="10" t="s">
        <v>251</v>
      </c>
      <c r="AE65" s="10" t="s">
        <v>112</v>
      </c>
      <c r="AF65" s="10" t="s">
        <v>382</v>
      </c>
      <c r="AG65" s="10" t="s">
        <v>700</v>
      </c>
      <c r="AH65" s="10" t="s">
        <v>428</v>
      </c>
    </row>
    <row r="66" customFormat="false" ht="46.25" hidden="false" customHeight="false" outlineLevel="0" collapsed="false">
      <c r="A66" s="10" t="s">
        <v>701</v>
      </c>
      <c r="B66" s="10" t="s">
        <v>702</v>
      </c>
      <c r="C66" s="10" t="s">
        <v>166</v>
      </c>
      <c r="D66" s="10" t="s">
        <v>703</v>
      </c>
      <c r="E66" s="10" t="s">
        <v>101</v>
      </c>
      <c r="F66" s="10" t="s">
        <v>704</v>
      </c>
      <c r="G66" s="10" t="s">
        <v>76</v>
      </c>
      <c r="H66" s="10" t="n">
        <v>1</v>
      </c>
      <c r="I66" s="10" t="s">
        <v>705</v>
      </c>
      <c r="J66" s="10" t="n">
        <v>3</v>
      </c>
      <c r="K66" s="10" t="s">
        <v>706</v>
      </c>
      <c r="L66" s="10" t="n">
        <v>1</v>
      </c>
      <c r="M66" s="10" t="n">
        <v>0</v>
      </c>
      <c r="N66" s="10" t="n">
        <v>0</v>
      </c>
      <c r="O66" s="10" t="n">
        <v>1</v>
      </c>
      <c r="P66" s="10" t="s">
        <v>87</v>
      </c>
      <c r="Q66" s="10" t="s">
        <v>104</v>
      </c>
      <c r="R66" s="10" t="s">
        <v>67</v>
      </c>
      <c r="S66" s="10" t="s">
        <v>106</v>
      </c>
      <c r="T66" s="10" t="s">
        <v>69</v>
      </c>
      <c r="U66" s="10" t="n">
        <v>0</v>
      </c>
      <c r="V66" s="10" t="s">
        <v>70</v>
      </c>
      <c r="W66" s="10" t="s">
        <v>69</v>
      </c>
      <c r="X66" s="10" t="n">
        <v>1</v>
      </c>
      <c r="Y66" s="10" t="s">
        <v>707</v>
      </c>
      <c r="Z66" s="10" t="s">
        <v>69</v>
      </c>
      <c r="AA66" s="10" t="s">
        <v>72</v>
      </c>
      <c r="AB66" s="10" t="s">
        <v>70</v>
      </c>
      <c r="AC66" s="10" t="s">
        <v>94</v>
      </c>
      <c r="AD66" s="10" t="s">
        <v>95</v>
      </c>
      <c r="AE66" s="10" t="s">
        <v>62</v>
      </c>
      <c r="AF66" s="10" t="s">
        <v>77</v>
      </c>
      <c r="AG66" s="10" t="s">
        <v>162</v>
      </c>
      <c r="AH66" s="10" t="s">
        <v>708</v>
      </c>
    </row>
    <row r="67" customFormat="false" ht="102.2" hidden="false" customHeight="false" outlineLevel="0" collapsed="false">
      <c r="A67" s="10" t="s">
        <v>709</v>
      </c>
      <c r="B67" s="10" t="s">
        <v>710</v>
      </c>
      <c r="C67" s="10" t="s">
        <v>711</v>
      </c>
      <c r="D67" s="10" t="s">
        <v>712</v>
      </c>
      <c r="E67" s="10" t="s">
        <v>101</v>
      </c>
      <c r="F67" s="10" t="s">
        <v>61</v>
      </c>
      <c r="G67" s="10" t="s">
        <v>112</v>
      </c>
      <c r="H67" s="10" t="n">
        <v>1</v>
      </c>
      <c r="I67" s="10" t="s">
        <v>713</v>
      </c>
      <c r="J67" s="10" t="n">
        <v>2</v>
      </c>
      <c r="K67" s="10" t="s">
        <v>714</v>
      </c>
      <c r="L67" s="10" t="n">
        <v>1</v>
      </c>
      <c r="M67" s="10" t="n">
        <v>0</v>
      </c>
      <c r="N67" s="10" t="n">
        <v>0</v>
      </c>
      <c r="O67" s="10" t="n">
        <v>1</v>
      </c>
      <c r="P67" s="10" t="s">
        <v>87</v>
      </c>
      <c r="Q67" s="10" t="s">
        <v>104</v>
      </c>
      <c r="R67" s="10" t="s">
        <v>105</v>
      </c>
      <c r="S67" s="10" t="s">
        <v>106</v>
      </c>
      <c r="T67" s="10" t="s">
        <v>121</v>
      </c>
      <c r="U67" s="10" t="n">
        <v>0</v>
      </c>
      <c r="V67" s="10" t="s">
        <v>70</v>
      </c>
      <c r="W67" s="10" t="s">
        <v>715</v>
      </c>
      <c r="X67" s="10" t="n">
        <v>2</v>
      </c>
      <c r="Y67" s="10" t="s">
        <v>716</v>
      </c>
      <c r="Z67" s="10" t="s">
        <v>717</v>
      </c>
      <c r="AA67" s="10" t="s">
        <v>72</v>
      </c>
      <c r="AB67" s="10" t="s">
        <v>70</v>
      </c>
      <c r="AC67" s="10" t="s">
        <v>94</v>
      </c>
      <c r="AD67" s="10" t="s">
        <v>95</v>
      </c>
      <c r="AE67" s="10" t="s">
        <v>62</v>
      </c>
      <c r="AF67" s="10" t="s">
        <v>77</v>
      </c>
      <c r="AG67" s="10" t="s">
        <v>718</v>
      </c>
      <c r="AH67" s="10" t="s">
        <v>408</v>
      </c>
    </row>
    <row r="68" customFormat="false" ht="102.2" hidden="false" customHeight="false" outlineLevel="0" collapsed="false">
      <c r="A68" s="10" t="s">
        <v>719</v>
      </c>
      <c r="B68" s="10" t="s">
        <v>720</v>
      </c>
      <c r="C68" s="10" t="s">
        <v>185</v>
      </c>
      <c r="D68" s="10" t="s">
        <v>721</v>
      </c>
      <c r="E68" s="10" t="s">
        <v>101</v>
      </c>
      <c r="F68" s="10" t="s">
        <v>61</v>
      </c>
      <c r="G68" s="10" t="s">
        <v>76</v>
      </c>
      <c r="H68" s="10" t="n">
        <v>0</v>
      </c>
      <c r="I68" s="10" t="s">
        <v>140</v>
      </c>
      <c r="J68" s="10" t="n">
        <v>1</v>
      </c>
      <c r="K68" s="10" t="s">
        <v>722</v>
      </c>
      <c r="L68" s="10" t="n">
        <v>1</v>
      </c>
      <c r="M68" s="10" t="n">
        <v>0</v>
      </c>
      <c r="N68" s="10" t="n">
        <v>0</v>
      </c>
      <c r="O68" s="10" t="n">
        <v>1</v>
      </c>
      <c r="P68" s="10" t="s">
        <v>87</v>
      </c>
      <c r="Q68" s="10" t="s">
        <v>69</v>
      </c>
      <c r="R68" s="10" t="s">
        <v>67</v>
      </c>
      <c r="S68" s="10" t="s">
        <v>69</v>
      </c>
      <c r="T68" s="10" t="s">
        <v>69</v>
      </c>
      <c r="U68" s="10" t="n">
        <v>0</v>
      </c>
      <c r="V68" s="10" t="s">
        <v>70</v>
      </c>
      <c r="W68" s="10" t="s">
        <v>69</v>
      </c>
      <c r="X68" s="10" t="n">
        <v>2</v>
      </c>
      <c r="Y68" s="10" t="s">
        <v>723</v>
      </c>
      <c r="Z68" s="10" t="s">
        <v>724</v>
      </c>
      <c r="AA68" s="10" t="s">
        <v>72</v>
      </c>
      <c r="AB68" s="10" t="s">
        <v>70</v>
      </c>
      <c r="AC68" s="10" t="s">
        <v>74</v>
      </c>
      <c r="AD68" s="10" t="s">
        <v>725</v>
      </c>
      <c r="AE68" s="10" t="s">
        <v>76</v>
      </c>
      <c r="AF68" s="10" t="s">
        <v>77</v>
      </c>
      <c r="AG68" s="10" t="s">
        <v>726</v>
      </c>
      <c r="AH68" s="10" t="s">
        <v>727</v>
      </c>
    </row>
    <row r="69" customFormat="false" ht="68.65" hidden="false" customHeight="false" outlineLevel="0" collapsed="false">
      <c r="A69" s="10" t="s">
        <v>728</v>
      </c>
      <c r="B69" s="10" t="s">
        <v>729</v>
      </c>
      <c r="C69" s="10" t="s">
        <v>138</v>
      </c>
      <c r="D69" s="10" t="s">
        <v>730</v>
      </c>
      <c r="E69" s="10" t="s">
        <v>101</v>
      </c>
      <c r="F69" s="10" t="s">
        <v>731</v>
      </c>
      <c r="G69" s="10" t="s">
        <v>76</v>
      </c>
      <c r="H69" s="10" t="n">
        <v>1</v>
      </c>
      <c r="I69" s="10" t="s">
        <v>732</v>
      </c>
      <c r="J69" s="10" t="n">
        <v>2</v>
      </c>
      <c r="K69" s="10" t="s">
        <v>733</v>
      </c>
      <c r="L69" s="10" t="n">
        <v>1</v>
      </c>
      <c r="M69" s="10" t="n">
        <v>0</v>
      </c>
      <c r="N69" s="10" t="n">
        <v>0</v>
      </c>
      <c r="O69" s="10" t="n">
        <v>1</v>
      </c>
      <c r="P69" s="10" t="s">
        <v>87</v>
      </c>
      <c r="Q69" s="10" t="s">
        <v>104</v>
      </c>
      <c r="R69" s="10" t="s">
        <v>105</v>
      </c>
      <c r="S69" s="10" t="s">
        <v>106</v>
      </c>
      <c r="T69" s="10" t="s">
        <v>121</v>
      </c>
      <c r="U69" s="10" t="n">
        <v>0</v>
      </c>
      <c r="V69" s="10" t="s">
        <v>70</v>
      </c>
      <c r="W69" s="10" t="s">
        <v>69</v>
      </c>
      <c r="X69" s="10" t="n">
        <v>2</v>
      </c>
      <c r="Y69" s="10" t="s">
        <v>734</v>
      </c>
      <c r="Z69" s="10" t="s">
        <v>735</v>
      </c>
      <c r="AA69" s="10" t="s">
        <v>72</v>
      </c>
      <c r="AB69" s="10" t="s">
        <v>70</v>
      </c>
      <c r="AC69" s="10" t="s">
        <v>94</v>
      </c>
      <c r="AD69" s="10" t="s">
        <v>95</v>
      </c>
      <c r="AE69" s="10" t="s">
        <v>62</v>
      </c>
      <c r="AF69" s="10" t="s">
        <v>77</v>
      </c>
      <c r="AG69" s="10" t="s">
        <v>126</v>
      </c>
      <c r="AH69" s="10" t="s">
        <v>408</v>
      </c>
    </row>
    <row r="70" customFormat="false" ht="57.45" hidden="false" customHeight="false" outlineLevel="0" collapsed="false">
      <c r="A70" s="10" t="s">
        <v>736</v>
      </c>
      <c r="B70" s="10" t="s">
        <v>737</v>
      </c>
      <c r="C70" s="10" t="s">
        <v>185</v>
      </c>
      <c r="D70" s="10" t="s">
        <v>738</v>
      </c>
      <c r="E70" s="10" t="s">
        <v>101</v>
      </c>
      <c r="F70" s="10" t="s">
        <v>61</v>
      </c>
      <c r="G70" s="10" t="s">
        <v>76</v>
      </c>
      <c r="H70" s="10" t="n">
        <v>2</v>
      </c>
      <c r="I70" s="10" t="s">
        <v>739</v>
      </c>
      <c r="J70" s="10" t="n">
        <v>1</v>
      </c>
      <c r="K70" s="10" t="s">
        <v>740</v>
      </c>
      <c r="L70" s="10" t="n">
        <v>1</v>
      </c>
      <c r="M70" s="10" t="n">
        <v>0</v>
      </c>
      <c r="N70" s="10" t="n">
        <v>0</v>
      </c>
      <c r="O70" s="10" t="n">
        <v>1</v>
      </c>
      <c r="P70" s="10" t="s">
        <v>87</v>
      </c>
      <c r="Q70" s="10" t="s">
        <v>104</v>
      </c>
      <c r="R70" s="10" t="s">
        <v>105</v>
      </c>
      <c r="S70" s="10" t="s">
        <v>741</v>
      </c>
      <c r="T70" s="10" t="s">
        <v>121</v>
      </c>
      <c r="U70" s="10" t="n">
        <v>0</v>
      </c>
      <c r="V70" s="10" t="s">
        <v>70</v>
      </c>
      <c r="W70" s="10" t="s">
        <v>69</v>
      </c>
      <c r="X70" s="10" t="n">
        <v>1</v>
      </c>
      <c r="Y70" s="10" t="s">
        <v>742</v>
      </c>
      <c r="Z70" s="10" t="s">
        <v>69</v>
      </c>
      <c r="AA70" s="10" t="s">
        <v>110</v>
      </c>
      <c r="AB70" s="10" t="s">
        <v>70</v>
      </c>
      <c r="AC70" s="10" t="s">
        <v>94</v>
      </c>
      <c r="AD70" s="10" t="s">
        <v>95</v>
      </c>
      <c r="AE70" s="10" t="s">
        <v>62</v>
      </c>
      <c r="AF70" s="10" t="s">
        <v>77</v>
      </c>
      <c r="AG70" s="10" t="s">
        <v>126</v>
      </c>
      <c r="AH70" s="10" t="s">
        <v>212</v>
      </c>
    </row>
    <row r="71" customFormat="false" ht="113.4" hidden="false" customHeight="false" outlineLevel="0" collapsed="false">
      <c r="A71" s="10" t="s">
        <v>743</v>
      </c>
      <c r="B71" s="10" t="s">
        <v>744</v>
      </c>
      <c r="C71" s="10" t="s">
        <v>99</v>
      </c>
      <c r="D71" s="10" t="s">
        <v>745</v>
      </c>
      <c r="E71" s="10" t="s">
        <v>60</v>
      </c>
      <c r="F71" s="10" t="s">
        <v>61</v>
      </c>
      <c r="G71" s="10" t="s">
        <v>112</v>
      </c>
      <c r="H71" s="10" t="n">
        <v>0</v>
      </c>
      <c r="I71" s="10" t="s">
        <v>140</v>
      </c>
      <c r="J71" s="10" t="n">
        <v>3</v>
      </c>
      <c r="K71" s="10" t="s">
        <v>168</v>
      </c>
      <c r="L71" s="10" t="n">
        <v>3</v>
      </c>
      <c r="M71" s="10" t="n">
        <v>2</v>
      </c>
      <c r="N71" s="10" t="n">
        <v>3</v>
      </c>
      <c r="O71" s="10" t="n">
        <v>3</v>
      </c>
      <c r="P71" s="10" t="s">
        <v>746</v>
      </c>
      <c r="Q71" s="10" t="s">
        <v>747</v>
      </c>
      <c r="R71" s="10" t="s">
        <v>89</v>
      </c>
      <c r="S71" s="10" t="s">
        <v>748</v>
      </c>
      <c r="T71" s="10" t="s">
        <v>91</v>
      </c>
      <c r="U71" s="10" t="n">
        <v>2</v>
      </c>
      <c r="V71" s="10" t="s">
        <v>316</v>
      </c>
      <c r="W71" s="10" t="s">
        <v>108</v>
      </c>
      <c r="X71" s="10" t="n">
        <v>2</v>
      </c>
      <c r="Y71" s="10" t="s">
        <v>749</v>
      </c>
      <c r="Z71" s="10" t="s">
        <v>750</v>
      </c>
      <c r="AA71" s="10" t="s">
        <v>73</v>
      </c>
      <c r="AB71" s="10" t="s">
        <v>72</v>
      </c>
      <c r="AC71" s="10" t="s">
        <v>74</v>
      </c>
      <c r="AD71" s="10" t="s">
        <v>174</v>
      </c>
      <c r="AE71" s="10" t="s">
        <v>112</v>
      </c>
      <c r="AF71" s="10" t="s">
        <v>77</v>
      </c>
      <c r="AG71" s="10" t="s">
        <v>149</v>
      </c>
      <c r="AH71" s="10" t="s">
        <v>751</v>
      </c>
    </row>
    <row r="72" customFormat="false" ht="46.25" hidden="false" customHeight="false" outlineLevel="0" collapsed="false">
      <c r="A72" s="10" t="s">
        <v>752</v>
      </c>
      <c r="B72" s="10" t="s">
        <v>753</v>
      </c>
      <c r="C72" s="10" t="s">
        <v>185</v>
      </c>
      <c r="D72" s="10" t="s">
        <v>754</v>
      </c>
      <c r="E72" s="10" t="s">
        <v>101</v>
      </c>
      <c r="F72" s="10" t="s">
        <v>755</v>
      </c>
      <c r="G72" s="10" t="s">
        <v>76</v>
      </c>
      <c r="H72" s="10" t="n">
        <v>2</v>
      </c>
      <c r="I72" s="10" t="s">
        <v>756</v>
      </c>
      <c r="J72" s="10" t="n">
        <v>3</v>
      </c>
      <c r="K72" s="10" t="s">
        <v>342</v>
      </c>
      <c r="L72" s="10" t="n">
        <v>1</v>
      </c>
      <c r="M72" s="10" t="n">
        <v>0</v>
      </c>
      <c r="N72" s="10" t="n">
        <v>0</v>
      </c>
      <c r="O72" s="10" t="n">
        <v>1</v>
      </c>
      <c r="P72" s="10" t="s">
        <v>87</v>
      </c>
      <c r="Q72" s="10" t="s">
        <v>104</v>
      </c>
      <c r="R72" s="10" t="s">
        <v>67</v>
      </c>
      <c r="S72" s="10" t="s">
        <v>106</v>
      </c>
      <c r="T72" s="10" t="s">
        <v>445</v>
      </c>
      <c r="U72" s="10" t="n">
        <v>0</v>
      </c>
      <c r="V72" s="10" t="s">
        <v>70</v>
      </c>
      <c r="W72" s="10" t="s">
        <v>69</v>
      </c>
      <c r="X72" s="10" t="n">
        <v>1</v>
      </c>
      <c r="Y72" s="10" t="s">
        <v>757</v>
      </c>
      <c r="Z72" s="10" t="s">
        <v>69</v>
      </c>
      <c r="AA72" s="10" t="s">
        <v>72</v>
      </c>
      <c r="AB72" s="10" t="s">
        <v>110</v>
      </c>
      <c r="AC72" s="10" t="s">
        <v>94</v>
      </c>
      <c r="AD72" s="10" t="s">
        <v>95</v>
      </c>
      <c r="AE72" s="10" t="s">
        <v>62</v>
      </c>
      <c r="AF72" s="10" t="s">
        <v>277</v>
      </c>
      <c r="AG72" s="10" t="s">
        <v>648</v>
      </c>
      <c r="AH72" s="10" t="s">
        <v>223</v>
      </c>
    </row>
    <row r="73" customFormat="false" ht="46.25" hidden="false" customHeight="false" outlineLevel="0" collapsed="false">
      <c r="A73" s="10" t="s">
        <v>758</v>
      </c>
      <c r="B73" s="10" t="s">
        <v>759</v>
      </c>
      <c r="C73" s="10" t="s">
        <v>364</v>
      </c>
      <c r="D73" s="10" t="s">
        <v>760</v>
      </c>
      <c r="E73" s="10" t="s">
        <v>101</v>
      </c>
      <c r="F73" s="10" t="s">
        <v>761</v>
      </c>
      <c r="G73" s="10" t="s">
        <v>76</v>
      </c>
      <c r="H73" s="10" t="n">
        <v>2</v>
      </c>
      <c r="I73" s="10" t="s">
        <v>762</v>
      </c>
      <c r="J73" s="10" t="n">
        <v>2</v>
      </c>
      <c r="K73" s="10" t="s">
        <v>670</v>
      </c>
      <c r="L73" s="10" t="n">
        <v>1</v>
      </c>
      <c r="M73" s="10" t="n">
        <v>0</v>
      </c>
      <c r="N73" s="10" t="n">
        <v>0</v>
      </c>
      <c r="O73" s="10" t="n">
        <v>1</v>
      </c>
      <c r="P73" s="10" t="s">
        <v>87</v>
      </c>
      <c r="Q73" s="10" t="s">
        <v>104</v>
      </c>
      <c r="R73" s="10" t="s">
        <v>67</v>
      </c>
      <c r="S73" s="10" t="s">
        <v>106</v>
      </c>
      <c r="T73" s="10" t="s">
        <v>69</v>
      </c>
      <c r="U73" s="10" t="n">
        <v>0</v>
      </c>
      <c r="V73" s="10" t="s">
        <v>70</v>
      </c>
      <c r="W73" s="10" t="s">
        <v>69</v>
      </c>
      <c r="X73" s="10" t="n">
        <v>1</v>
      </c>
      <c r="Y73" s="10" t="s">
        <v>763</v>
      </c>
      <c r="Z73" s="10" t="s">
        <v>69</v>
      </c>
      <c r="AA73" s="10" t="s">
        <v>110</v>
      </c>
      <c r="AB73" s="10" t="s">
        <v>72</v>
      </c>
      <c r="AC73" s="10" t="s">
        <v>74</v>
      </c>
      <c r="AD73" s="10" t="s">
        <v>302</v>
      </c>
      <c r="AE73" s="10" t="s">
        <v>76</v>
      </c>
      <c r="AF73" s="10" t="s">
        <v>77</v>
      </c>
      <c r="AG73" s="10" t="s">
        <v>162</v>
      </c>
      <c r="AH73" s="10" t="s">
        <v>764</v>
      </c>
    </row>
    <row r="74" customFormat="false" ht="79.85" hidden="false" customHeight="false" outlineLevel="0" collapsed="false">
      <c r="A74" s="10" t="s">
        <v>765</v>
      </c>
      <c r="B74" s="10" t="s">
        <v>766</v>
      </c>
      <c r="C74" s="10" t="s">
        <v>321</v>
      </c>
      <c r="D74" s="10" t="s">
        <v>767</v>
      </c>
      <c r="E74" s="10" t="s">
        <v>101</v>
      </c>
      <c r="F74" s="10" t="s">
        <v>187</v>
      </c>
      <c r="G74" s="10" t="s">
        <v>112</v>
      </c>
      <c r="H74" s="10" t="n">
        <v>3</v>
      </c>
      <c r="I74" s="10" t="s">
        <v>768</v>
      </c>
      <c r="J74" s="10" t="n">
        <v>2</v>
      </c>
      <c r="K74" s="10" t="s">
        <v>228</v>
      </c>
      <c r="L74" s="10" t="n">
        <v>2</v>
      </c>
      <c r="M74" s="10" t="n">
        <v>0</v>
      </c>
      <c r="N74" s="10" t="n">
        <v>2</v>
      </c>
      <c r="O74" s="10" t="n">
        <v>1</v>
      </c>
      <c r="P74" s="10" t="s">
        <v>87</v>
      </c>
      <c r="Q74" s="10" t="s">
        <v>389</v>
      </c>
      <c r="R74" s="10" t="s">
        <v>105</v>
      </c>
      <c r="S74" s="10" t="s">
        <v>390</v>
      </c>
      <c r="T74" s="10" t="s">
        <v>769</v>
      </c>
      <c r="U74" s="10" t="n">
        <v>0</v>
      </c>
      <c r="V74" s="10" t="s">
        <v>70</v>
      </c>
      <c r="W74" s="10" t="s">
        <v>69</v>
      </c>
      <c r="X74" s="10" t="n">
        <v>1</v>
      </c>
      <c r="Y74" s="10" t="s">
        <v>770</v>
      </c>
      <c r="Z74" s="10" t="s">
        <v>69</v>
      </c>
      <c r="AA74" s="10" t="s">
        <v>110</v>
      </c>
      <c r="AB74" s="10" t="s">
        <v>72</v>
      </c>
      <c r="AC74" s="10" t="s">
        <v>94</v>
      </c>
      <c r="AD74" s="10" t="s">
        <v>95</v>
      </c>
      <c r="AE74" s="10" t="s">
        <v>62</v>
      </c>
      <c r="AF74" s="10" t="s">
        <v>647</v>
      </c>
      <c r="AG74" s="10" t="s">
        <v>78</v>
      </c>
      <c r="AH74" s="10" t="s">
        <v>771</v>
      </c>
    </row>
    <row r="75" customFormat="false" ht="68.65" hidden="false" customHeight="false" outlineLevel="0" collapsed="false">
      <c r="A75" s="10" t="s">
        <v>772</v>
      </c>
      <c r="B75" s="10" t="s">
        <v>773</v>
      </c>
      <c r="C75" s="10" t="s">
        <v>58</v>
      </c>
      <c r="D75" s="10" t="s">
        <v>774</v>
      </c>
      <c r="E75" s="10" t="s">
        <v>60</v>
      </c>
      <c r="F75" s="10" t="s">
        <v>61</v>
      </c>
      <c r="G75" s="10" t="s">
        <v>112</v>
      </c>
      <c r="H75" s="10" t="n">
        <v>2</v>
      </c>
      <c r="I75" s="10" t="s">
        <v>775</v>
      </c>
      <c r="J75" s="10" t="n">
        <v>3</v>
      </c>
      <c r="K75" s="10" t="s">
        <v>238</v>
      </c>
      <c r="L75" s="10" t="n">
        <v>3</v>
      </c>
      <c r="M75" s="10" t="n">
        <v>2</v>
      </c>
      <c r="N75" s="10" t="n">
        <v>3</v>
      </c>
      <c r="O75" s="10" t="n">
        <v>3</v>
      </c>
      <c r="P75" s="10" t="s">
        <v>315</v>
      </c>
      <c r="Q75" s="10" t="s">
        <v>169</v>
      </c>
      <c r="R75" s="10" t="s">
        <v>89</v>
      </c>
      <c r="S75" s="10" t="s">
        <v>170</v>
      </c>
      <c r="T75" s="10" t="s">
        <v>91</v>
      </c>
      <c r="U75" s="10" t="n">
        <v>0</v>
      </c>
      <c r="V75" s="10" t="s">
        <v>70</v>
      </c>
      <c r="W75" s="10" t="s">
        <v>69</v>
      </c>
      <c r="X75" s="10" t="n">
        <v>2</v>
      </c>
      <c r="Y75" s="10" t="s">
        <v>776</v>
      </c>
      <c r="Z75" s="10" t="s">
        <v>777</v>
      </c>
      <c r="AA75" s="10" t="s">
        <v>72</v>
      </c>
      <c r="AB75" s="10" t="s">
        <v>73</v>
      </c>
      <c r="AC75" s="10" t="s">
        <v>74</v>
      </c>
      <c r="AD75" s="10" t="s">
        <v>778</v>
      </c>
      <c r="AE75" s="10" t="s">
        <v>76</v>
      </c>
      <c r="AF75" s="10" t="s">
        <v>77</v>
      </c>
      <c r="AG75" s="10" t="s">
        <v>126</v>
      </c>
      <c r="AH75" s="10" t="s">
        <v>779</v>
      </c>
    </row>
    <row r="76" customFormat="false" ht="79.85" hidden="false" customHeight="false" outlineLevel="0" collapsed="false">
      <c r="A76" s="10" t="s">
        <v>780</v>
      </c>
      <c r="B76" s="10" t="s">
        <v>781</v>
      </c>
      <c r="C76" s="10" t="s">
        <v>166</v>
      </c>
      <c r="D76" s="10" t="s">
        <v>782</v>
      </c>
      <c r="E76" s="10" t="s">
        <v>60</v>
      </c>
      <c r="F76" s="10" t="s">
        <v>84</v>
      </c>
      <c r="G76" s="10" t="s">
        <v>62</v>
      </c>
      <c r="H76" s="10" t="n">
        <v>2</v>
      </c>
      <c r="I76" s="10" t="s">
        <v>783</v>
      </c>
      <c r="J76" s="10" t="n">
        <v>3</v>
      </c>
      <c r="K76" s="10" t="s">
        <v>168</v>
      </c>
      <c r="L76" s="10" t="n">
        <v>3</v>
      </c>
      <c r="M76" s="10" t="n">
        <v>1</v>
      </c>
      <c r="N76" s="10" t="n">
        <v>3</v>
      </c>
      <c r="O76" s="10" t="n">
        <v>3</v>
      </c>
      <c r="P76" s="10" t="s">
        <v>65</v>
      </c>
      <c r="Q76" s="10" t="s">
        <v>613</v>
      </c>
      <c r="R76" s="10" t="s">
        <v>89</v>
      </c>
      <c r="S76" s="10" t="s">
        <v>614</v>
      </c>
      <c r="T76" s="10" t="s">
        <v>91</v>
      </c>
      <c r="U76" s="10" t="n">
        <v>2</v>
      </c>
      <c r="V76" s="10" t="s">
        <v>784</v>
      </c>
      <c r="W76" s="10" t="s">
        <v>171</v>
      </c>
      <c r="X76" s="10" t="n">
        <v>2</v>
      </c>
      <c r="Y76" s="10" t="s">
        <v>785</v>
      </c>
      <c r="Z76" s="10" t="s">
        <v>786</v>
      </c>
      <c r="AA76" s="10" t="s">
        <v>73</v>
      </c>
      <c r="AB76" s="10" t="s">
        <v>72</v>
      </c>
      <c r="AC76" s="10" t="s">
        <v>74</v>
      </c>
      <c r="AD76" s="10" t="s">
        <v>174</v>
      </c>
      <c r="AE76" s="10" t="s">
        <v>112</v>
      </c>
      <c r="AF76" s="10" t="s">
        <v>77</v>
      </c>
      <c r="AG76" s="10" t="s">
        <v>126</v>
      </c>
      <c r="AH76" s="10" t="s">
        <v>787</v>
      </c>
    </row>
    <row r="77" customFormat="false" ht="91" hidden="false" customHeight="false" outlineLevel="0" collapsed="false">
      <c r="A77" s="10" t="s">
        <v>788</v>
      </c>
      <c r="B77" s="10" t="s">
        <v>789</v>
      </c>
      <c r="C77" s="10" t="s">
        <v>185</v>
      </c>
      <c r="D77" s="10" t="s">
        <v>790</v>
      </c>
      <c r="E77" s="10" t="s">
        <v>101</v>
      </c>
      <c r="F77" s="10" t="s">
        <v>791</v>
      </c>
      <c r="G77" s="10" t="s">
        <v>112</v>
      </c>
      <c r="H77" s="10" t="n">
        <v>2</v>
      </c>
      <c r="I77" s="10" t="s">
        <v>792</v>
      </c>
      <c r="J77" s="10" t="n">
        <v>2</v>
      </c>
      <c r="K77" s="10" t="s">
        <v>793</v>
      </c>
      <c r="L77" s="10" t="n">
        <v>1</v>
      </c>
      <c r="M77" s="10" t="n">
        <v>0</v>
      </c>
      <c r="N77" s="10" t="n">
        <v>0</v>
      </c>
      <c r="O77" s="10" t="n">
        <v>1</v>
      </c>
      <c r="P77" s="10" t="s">
        <v>87</v>
      </c>
      <c r="Q77" s="10" t="s">
        <v>104</v>
      </c>
      <c r="R77" s="10" t="s">
        <v>105</v>
      </c>
      <c r="S77" s="10" t="s">
        <v>106</v>
      </c>
      <c r="T77" s="10" t="s">
        <v>121</v>
      </c>
      <c r="U77" s="10" t="n">
        <v>2</v>
      </c>
      <c r="V77" s="10" t="s">
        <v>794</v>
      </c>
      <c r="W77" s="10" t="s">
        <v>795</v>
      </c>
      <c r="X77" s="10" t="n">
        <v>2</v>
      </c>
      <c r="Y77" s="10" t="s">
        <v>796</v>
      </c>
      <c r="Z77" s="10" t="s">
        <v>797</v>
      </c>
      <c r="AA77" s="10" t="s">
        <v>110</v>
      </c>
      <c r="AB77" s="10" t="s">
        <v>72</v>
      </c>
      <c r="AC77" s="10" t="s">
        <v>74</v>
      </c>
      <c r="AD77" s="10" t="s">
        <v>251</v>
      </c>
      <c r="AE77" s="10" t="s">
        <v>112</v>
      </c>
      <c r="AF77" s="10" t="s">
        <v>77</v>
      </c>
      <c r="AG77" s="10" t="s">
        <v>126</v>
      </c>
      <c r="AH77" s="10" t="s">
        <v>428</v>
      </c>
    </row>
    <row r="78" customFormat="false" ht="214.15" hidden="false" customHeight="false" outlineLevel="0" collapsed="false">
      <c r="A78" s="10" t="s">
        <v>798</v>
      </c>
      <c r="B78" s="10" t="s">
        <v>799</v>
      </c>
      <c r="C78" s="10" t="s">
        <v>58</v>
      </c>
      <c r="D78" s="10" t="s">
        <v>800</v>
      </c>
      <c r="E78" s="10" t="s">
        <v>101</v>
      </c>
      <c r="F78" s="10" t="s">
        <v>61</v>
      </c>
      <c r="G78" s="10" t="s">
        <v>76</v>
      </c>
      <c r="H78" s="10" t="n">
        <v>2</v>
      </c>
      <c r="I78" s="10" t="s">
        <v>63</v>
      </c>
      <c r="J78" s="10" t="n">
        <v>0</v>
      </c>
      <c r="K78" s="10" t="s">
        <v>275</v>
      </c>
      <c r="L78" s="10" t="n">
        <v>0</v>
      </c>
      <c r="M78" s="10" t="n">
        <v>0</v>
      </c>
      <c r="N78" s="10" t="n">
        <v>0</v>
      </c>
      <c r="O78" s="10" t="n">
        <v>0</v>
      </c>
      <c r="P78" s="10" t="s">
        <v>87</v>
      </c>
      <c r="Q78" s="10" t="s">
        <v>69</v>
      </c>
      <c r="R78" s="10" t="s">
        <v>87</v>
      </c>
      <c r="S78" s="10" t="s">
        <v>69</v>
      </c>
      <c r="T78" s="10" t="s">
        <v>69</v>
      </c>
      <c r="U78" s="10" t="n">
        <v>0</v>
      </c>
      <c r="V78" s="10" t="s">
        <v>70</v>
      </c>
      <c r="W78" s="10" t="s">
        <v>69</v>
      </c>
      <c r="X78" s="10" t="n">
        <v>1</v>
      </c>
      <c r="Y78" s="10" t="s">
        <v>801</v>
      </c>
      <c r="Z78" s="10" t="s">
        <v>69</v>
      </c>
      <c r="AA78" s="10" t="s">
        <v>110</v>
      </c>
      <c r="AB78" s="10" t="s">
        <v>70</v>
      </c>
      <c r="AC78" s="10" t="s">
        <v>94</v>
      </c>
      <c r="AD78" s="10" t="s">
        <v>95</v>
      </c>
      <c r="AE78" s="10" t="s">
        <v>62</v>
      </c>
      <c r="AF78" s="10" t="s">
        <v>77</v>
      </c>
      <c r="AG78" s="10" t="s">
        <v>113</v>
      </c>
      <c r="AH78" s="10" t="s">
        <v>437</v>
      </c>
    </row>
    <row r="79" customFormat="false" ht="35.05" hidden="false" customHeight="false" outlineLevel="0" collapsed="false">
      <c r="A79" s="10" t="s">
        <v>802</v>
      </c>
      <c r="B79" s="10" t="s">
        <v>803</v>
      </c>
      <c r="C79" s="10" t="s">
        <v>82</v>
      </c>
      <c r="D79" s="10" t="s">
        <v>804</v>
      </c>
      <c r="E79" s="10" t="s">
        <v>101</v>
      </c>
      <c r="F79" s="10" t="s">
        <v>805</v>
      </c>
      <c r="G79" s="10" t="s">
        <v>76</v>
      </c>
      <c r="H79" s="10" t="n">
        <v>2</v>
      </c>
      <c r="I79" s="10" t="s">
        <v>806</v>
      </c>
      <c r="J79" s="10" t="n">
        <v>1</v>
      </c>
      <c r="K79" s="10" t="s">
        <v>103</v>
      </c>
      <c r="L79" s="10" t="n">
        <v>1</v>
      </c>
      <c r="M79" s="10" t="n">
        <v>0</v>
      </c>
      <c r="N79" s="10" t="n">
        <v>1</v>
      </c>
      <c r="O79" s="10" t="n">
        <v>1</v>
      </c>
      <c r="P79" s="10" t="s">
        <v>87</v>
      </c>
      <c r="Q79" s="10" t="s">
        <v>257</v>
      </c>
      <c r="R79" s="10" t="s">
        <v>105</v>
      </c>
      <c r="S79" s="10" t="s">
        <v>807</v>
      </c>
      <c r="T79" s="10" t="s">
        <v>808</v>
      </c>
      <c r="U79" s="10" t="n">
        <v>0</v>
      </c>
      <c r="V79" s="10" t="s">
        <v>70</v>
      </c>
      <c r="W79" s="10" t="s">
        <v>69</v>
      </c>
      <c r="X79" s="10" t="n">
        <v>1</v>
      </c>
      <c r="Y79" s="10" t="s">
        <v>809</v>
      </c>
      <c r="Z79" s="10" t="s">
        <v>69</v>
      </c>
      <c r="AA79" s="10" t="s">
        <v>110</v>
      </c>
      <c r="AB79" s="10" t="s">
        <v>70</v>
      </c>
      <c r="AC79" s="10" t="s">
        <v>94</v>
      </c>
      <c r="AD79" s="10" t="s">
        <v>95</v>
      </c>
      <c r="AE79" s="10" t="s">
        <v>62</v>
      </c>
      <c r="AF79" s="10" t="s">
        <v>77</v>
      </c>
      <c r="AG79" s="10" t="s">
        <v>126</v>
      </c>
      <c r="AH79" s="10" t="s">
        <v>810</v>
      </c>
    </row>
    <row r="80" customFormat="false" ht="326.1" hidden="false" customHeight="false" outlineLevel="0" collapsed="false">
      <c r="A80" s="10" t="s">
        <v>811</v>
      </c>
      <c r="B80" s="10" t="s">
        <v>812</v>
      </c>
      <c r="C80" s="10" t="s">
        <v>281</v>
      </c>
      <c r="D80" s="10" t="s">
        <v>813</v>
      </c>
      <c r="E80" s="10" t="s">
        <v>101</v>
      </c>
      <c r="F80" s="10" t="s">
        <v>814</v>
      </c>
      <c r="G80" s="10" t="s">
        <v>112</v>
      </c>
      <c r="H80" s="10" t="n">
        <v>3</v>
      </c>
      <c r="I80" s="10" t="s">
        <v>815</v>
      </c>
      <c r="J80" s="10" t="n">
        <v>3</v>
      </c>
      <c r="K80" s="10" t="s">
        <v>218</v>
      </c>
      <c r="L80" s="10" t="n">
        <v>1</v>
      </c>
      <c r="M80" s="10" t="n">
        <v>0</v>
      </c>
      <c r="N80" s="10" t="n">
        <v>0</v>
      </c>
      <c r="O80" s="10" t="n">
        <v>1</v>
      </c>
      <c r="P80" s="10" t="s">
        <v>87</v>
      </c>
      <c r="Q80" s="10" t="s">
        <v>104</v>
      </c>
      <c r="R80" s="10" t="s">
        <v>105</v>
      </c>
      <c r="S80" s="10" t="s">
        <v>106</v>
      </c>
      <c r="T80" s="10" t="s">
        <v>121</v>
      </c>
      <c r="U80" s="10" t="n">
        <v>0</v>
      </c>
      <c r="V80" s="10" t="s">
        <v>70</v>
      </c>
      <c r="W80" s="10" t="s">
        <v>69</v>
      </c>
      <c r="X80" s="10" t="n">
        <v>1</v>
      </c>
      <c r="Y80" s="10" t="s">
        <v>816</v>
      </c>
      <c r="Z80" s="10" t="s">
        <v>69</v>
      </c>
      <c r="AA80" s="10" t="s">
        <v>110</v>
      </c>
      <c r="AB80" s="10" t="s">
        <v>72</v>
      </c>
      <c r="AC80" s="10" t="s">
        <v>74</v>
      </c>
      <c r="AD80" s="10" t="s">
        <v>532</v>
      </c>
      <c r="AE80" s="10" t="s">
        <v>112</v>
      </c>
      <c r="AF80" s="10" t="s">
        <v>277</v>
      </c>
      <c r="AG80" s="10" t="s">
        <v>648</v>
      </c>
      <c r="AH80" s="10" t="s">
        <v>817</v>
      </c>
    </row>
    <row r="81" customFormat="false" ht="46.25" hidden="false" customHeight="false" outlineLevel="0" collapsed="false">
      <c r="A81" s="10" t="s">
        <v>818</v>
      </c>
      <c r="B81" s="10" t="s">
        <v>819</v>
      </c>
      <c r="C81" s="10" t="s">
        <v>138</v>
      </c>
      <c r="D81" s="10" t="s">
        <v>820</v>
      </c>
      <c r="E81" s="10" t="s">
        <v>60</v>
      </c>
      <c r="F81" s="10" t="s">
        <v>61</v>
      </c>
      <c r="G81" s="10" t="s">
        <v>76</v>
      </c>
      <c r="H81" s="10" t="n">
        <v>2</v>
      </c>
      <c r="I81" s="10" t="s">
        <v>821</v>
      </c>
      <c r="J81" s="10" t="n">
        <v>3</v>
      </c>
      <c r="K81" s="10" t="s">
        <v>822</v>
      </c>
      <c r="L81" s="10" t="n">
        <v>2</v>
      </c>
      <c r="M81" s="10" t="n">
        <v>1</v>
      </c>
      <c r="N81" s="10" t="n">
        <v>2</v>
      </c>
      <c r="O81" s="10" t="n">
        <v>1</v>
      </c>
      <c r="P81" s="10" t="s">
        <v>443</v>
      </c>
      <c r="Q81" s="10" t="s">
        <v>823</v>
      </c>
      <c r="R81" s="10" t="s">
        <v>67</v>
      </c>
      <c r="S81" s="10" t="s">
        <v>824</v>
      </c>
      <c r="T81" s="10" t="s">
        <v>69</v>
      </c>
      <c r="U81" s="10" t="n">
        <v>0</v>
      </c>
      <c r="V81" s="10" t="s">
        <v>70</v>
      </c>
      <c r="W81" s="10" t="s">
        <v>69</v>
      </c>
      <c r="X81" s="10" t="n">
        <v>1</v>
      </c>
      <c r="Y81" s="10" t="s">
        <v>825</v>
      </c>
      <c r="Z81" s="10" t="s">
        <v>69</v>
      </c>
      <c r="AA81" s="10" t="s">
        <v>72</v>
      </c>
      <c r="AB81" s="10" t="s">
        <v>73</v>
      </c>
      <c r="AC81" s="10" t="s">
        <v>94</v>
      </c>
      <c r="AD81" s="10" t="s">
        <v>95</v>
      </c>
      <c r="AE81" s="10" t="s">
        <v>62</v>
      </c>
      <c r="AF81" s="10" t="s">
        <v>125</v>
      </c>
      <c r="AG81" s="10" t="s">
        <v>162</v>
      </c>
      <c r="AH81" s="10" t="s">
        <v>826</v>
      </c>
    </row>
    <row r="82" customFormat="false" ht="68.65" hidden="false" customHeight="false" outlineLevel="0" collapsed="false">
      <c r="A82" s="10" t="s">
        <v>827</v>
      </c>
      <c r="B82" s="10" t="s">
        <v>828</v>
      </c>
      <c r="C82" s="10" t="s">
        <v>711</v>
      </c>
      <c r="D82" s="10" t="s">
        <v>829</v>
      </c>
      <c r="E82" s="10" t="s">
        <v>101</v>
      </c>
      <c r="F82" s="10" t="s">
        <v>830</v>
      </c>
      <c r="G82" s="10" t="s">
        <v>62</v>
      </c>
      <c r="H82" s="10" t="n">
        <v>2</v>
      </c>
      <c r="I82" s="10" t="s">
        <v>831</v>
      </c>
      <c r="J82" s="10" t="n">
        <v>2</v>
      </c>
      <c r="K82" s="10" t="s">
        <v>248</v>
      </c>
      <c r="L82" s="10" t="n">
        <v>1</v>
      </c>
      <c r="M82" s="10" t="n">
        <v>0</v>
      </c>
      <c r="N82" s="10" t="n">
        <v>1</v>
      </c>
      <c r="O82" s="10" t="n">
        <v>1</v>
      </c>
      <c r="P82" s="10" t="s">
        <v>87</v>
      </c>
      <c r="Q82" s="10" t="s">
        <v>257</v>
      </c>
      <c r="R82" s="10" t="s">
        <v>105</v>
      </c>
      <c r="S82" s="10" t="s">
        <v>807</v>
      </c>
      <c r="T82" s="10" t="s">
        <v>832</v>
      </c>
      <c r="U82" s="10" t="n">
        <v>0</v>
      </c>
      <c r="V82" s="10" t="s">
        <v>70</v>
      </c>
      <c r="W82" s="10" t="s">
        <v>69</v>
      </c>
      <c r="X82" s="10" t="n">
        <v>1</v>
      </c>
      <c r="Y82" s="10" t="s">
        <v>833</v>
      </c>
      <c r="Z82" s="10" t="s">
        <v>69</v>
      </c>
      <c r="AA82" s="10" t="s">
        <v>110</v>
      </c>
      <c r="AB82" s="10" t="s">
        <v>72</v>
      </c>
      <c r="AC82" s="10" t="s">
        <v>74</v>
      </c>
      <c r="AD82" s="10" t="s">
        <v>251</v>
      </c>
      <c r="AE82" s="10" t="s">
        <v>112</v>
      </c>
      <c r="AF82" s="10" t="s">
        <v>77</v>
      </c>
      <c r="AG82" s="10" t="s">
        <v>126</v>
      </c>
      <c r="AH82" s="10" t="s">
        <v>834</v>
      </c>
    </row>
    <row r="83" customFormat="false" ht="46.25" hidden="false" customHeight="false" outlineLevel="0" collapsed="false">
      <c r="A83" s="10" t="s">
        <v>835</v>
      </c>
      <c r="B83" s="10" t="s">
        <v>836</v>
      </c>
      <c r="C83" s="10" t="s">
        <v>837</v>
      </c>
      <c r="D83" s="10" t="s">
        <v>838</v>
      </c>
      <c r="E83" s="10" t="s">
        <v>60</v>
      </c>
      <c r="F83" s="10" t="s">
        <v>839</v>
      </c>
      <c r="G83" s="10" t="s">
        <v>62</v>
      </c>
      <c r="H83" s="10" t="n">
        <v>3</v>
      </c>
      <c r="I83" s="10" t="s">
        <v>840</v>
      </c>
      <c r="J83" s="10" t="n">
        <v>3</v>
      </c>
      <c r="K83" s="10" t="s">
        <v>537</v>
      </c>
      <c r="L83" s="10" t="n">
        <v>2</v>
      </c>
      <c r="M83" s="10" t="n">
        <v>1</v>
      </c>
      <c r="N83" s="10" t="n">
        <v>2</v>
      </c>
      <c r="O83" s="10" t="n">
        <v>1</v>
      </c>
      <c r="P83" s="10" t="s">
        <v>65</v>
      </c>
      <c r="Q83" s="10" t="s">
        <v>88</v>
      </c>
      <c r="R83" s="10" t="s">
        <v>105</v>
      </c>
      <c r="S83" s="10" t="s">
        <v>90</v>
      </c>
      <c r="T83" s="10" t="s">
        <v>121</v>
      </c>
      <c r="U83" s="10" t="n">
        <v>0</v>
      </c>
      <c r="V83" s="10" t="s">
        <v>70</v>
      </c>
      <c r="W83" s="10" t="s">
        <v>841</v>
      </c>
      <c r="X83" s="10" t="n">
        <v>1</v>
      </c>
      <c r="Y83" s="10" t="s">
        <v>842</v>
      </c>
      <c r="Z83" s="10" t="s">
        <v>843</v>
      </c>
      <c r="AA83" s="10" t="s">
        <v>110</v>
      </c>
      <c r="AB83" s="10" t="s">
        <v>72</v>
      </c>
      <c r="AC83" s="10" t="s">
        <v>74</v>
      </c>
      <c r="AD83" s="10" t="s">
        <v>532</v>
      </c>
      <c r="AE83" s="10" t="s">
        <v>112</v>
      </c>
      <c r="AF83" s="10" t="s">
        <v>77</v>
      </c>
      <c r="AG83" s="10" t="s">
        <v>149</v>
      </c>
      <c r="AH83" s="10" t="s">
        <v>844</v>
      </c>
    </row>
    <row r="84" customFormat="false" ht="35.05" hidden="false" customHeight="false" outlineLevel="0" collapsed="false">
      <c r="A84" s="10" t="s">
        <v>845</v>
      </c>
      <c r="B84" s="10" t="s">
        <v>846</v>
      </c>
      <c r="C84" s="10" t="s">
        <v>99</v>
      </c>
      <c r="D84" s="10" t="s">
        <v>847</v>
      </c>
      <c r="E84" s="10" t="s">
        <v>101</v>
      </c>
      <c r="F84" s="10" t="s">
        <v>61</v>
      </c>
      <c r="G84" s="10" t="s">
        <v>62</v>
      </c>
      <c r="H84" s="10" t="n">
        <v>1</v>
      </c>
      <c r="I84" s="10" t="s">
        <v>848</v>
      </c>
      <c r="J84" s="10" t="n">
        <v>2</v>
      </c>
      <c r="K84" s="10" t="s">
        <v>189</v>
      </c>
      <c r="L84" s="10" t="n">
        <v>1</v>
      </c>
      <c r="M84" s="10" t="n">
        <v>1</v>
      </c>
      <c r="N84" s="10" t="n">
        <v>0</v>
      </c>
      <c r="O84" s="10" t="n">
        <v>1</v>
      </c>
      <c r="P84" s="10" t="s">
        <v>65</v>
      </c>
      <c r="Q84" s="10" t="s">
        <v>104</v>
      </c>
      <c r="R84" s="10" t="s">
        <v>105</v>
      </c>
      <c r="S84" s="10" t="s">
        <v>849</v>
      </c>
      <c r="T84" s="10" t="s">
        <v>121</v>
      </c>
      <c r="U84" s="10" t="n">
        <v>0</v>
      </c>
      <c r="V84" s="10" t="s">
        <v>70</v>
      </c>
      <c r="W84" s="10" t="s">
        <v>69</v>
      </c>
      <c r="X84" s="10" t="n">
        <v>1</v>
      </c>
      <c r="Y84" s="10" t="s">
        <v>850</v>
      </c>
      <c r="Z84" s="10" t="s">
        <v>69</v>
      </c>
      <c r="AA84" s="10" t="s">
        <v>72</v>
      </c>
      <c r="AB84" s="10" t="s">
        <v>70</v>
      </c>
      <c r="AC84" s="10" t="s">
        <v>94</v>
      </c>
      <c r="AD84" s="10" t="s">
        <v>95</v>
      </c>
      <c r="AE84" s="10" t="s">
        <v>62</v>
      </c>
      <c r="AF84" s="10" t="s">
        <v>77</v>
      </c>
      <c r="AG84" s="10" t="s">
        <v>162</v>
      </c>
      <c r="AH84" s="10" t="s">
        <v>163</v>
      </c>
    </row>
    <row r="85" customFormat="false" ht="113.4" hidden="false" customHeight="false" outlineLevel="0" collapsed="false">
      <c r="A85" s="10" t="s">
        <v>851</v>
      </c>
      <c r="B85" s="10" t="s">
        <v>852</v>
      </c>
      <c r="C85" s="10" t="s">
        <v>166</v>
      </c>
      <c r="D85" s="10" t="s">
        <v>853</v>
      </c>
      <c r="E85" s="10" t="s">
        <v>60</v>
      </c>
      <c r="F85" s="10" t="s">
        <v>61</v>
      </c>
      <c r="G85" s="10" t="s">
        <v>112</v>
      </c>
      <c r="H85" s="10" t="n">
        <v>1</v>
      </c>
      <c r="I85" s="10" t="s">
        <v>854</v>
      </c>
      <c r="J85" s="10" t="n">
        <v>3</v>
      </c>
      <c r="K85" s="10" t="s">
        <v>855</v>
      </c>
      <c r="L85" s="10" t="n">
        <v>1</v>
      </c>
      <c r="M85" s="10" t="n">
        <v>1</v>
      </c>
      <c r="N85" s="10" t="n">
        <v>0</v>
      </c>
      <c r="O85" s="10" t="n">
        <v>1</v>
      </c>
      <c r="P85" s="10" t="s">
        <v>443</v>
      </c>
      <c r="Q85" s="10" t="s">
        <v>157</v>
      </c>
      <c r="R85" s="10" t="s">
        <v>105</v>
      </c>
      <c r="S85" s="10" t="s">
        <v>856</v>
      </c>
      <c r="T85" s="10" t="s">
        <v>857</v>
      </c>
      <c r="U85" s="10" t="n">
        <v>0</v>
      </c>
      <c r="V85" s="10" t="s">
        <v>70</v>
      </c>
      <c r="W85" s="10" t="s">
        <v>69</v>
      </c>
      <c r="X85" s="10" t="n">
        <v>2</v>
      </c>
      <c r="Y85" s="10" t="s">
        <v>858</v>
      </c>
      <c r="Z85" s="10" t="s">
        <v>859</v>
      </c>
      <c r="AA85" s="10" t="s">
        <v>72</v>
      </c>
      <c r="AB85" s="10" t="s">
        <v>70</v>
      </c>
      <c r="AC85" s="10" t="s">
        <v>94</v>
      </c>
      <c r="AD85" s="10" t="s">
        <v>95</v>
      </c>
      <c r="AE85" s="10" t="s">
        <v>62</v>
      </c>
      <c r="AF85" s="10" t="s">
        <v>77</v>
      </c>
      <c r="AG85" s="10" t="s">
        <v>126</v>
      </c>
      <c r="AH85" s="10" t="s">
        <v>860</v>
      </c>
    </row>
    <row r="86" customFormat="false" ht="158.2" hidden="false" customHeight="false" outlineLevel="0" collapsed="false">
      <c r="A86" s="10" t="s">
        <v>861</v>
      </c>
      <c r="B86" s="10" t="s">
        <v>862</v>
      </c>
      <c r="C86" s="10" t="s">
        <v>386</v>
      </c>
      <c r="D86" s="10" t="s">
        <v>863</v>
      </c>
      <c r="E86" s="10" t="s">
        <v>60</v>
      </c>
      <c r="F86" s="10" t="s">
        <v>84</v>
      </c>
      <c r="G86" s="10" t="s">
        <v>62</v>
      </c>
      <c r="H86" s="10" t="n">
        <v>2</v>
      </c>
      <c r="I86" s="10" t="s">
        <v>462</v>
      </c>
      <c r="J86" s="10" t="n">
        <v>2</v>
      </c>
      <c r="K86" s="10" t="s">
        <v>86</v>
      </c>
      <c r="L86" s="10" t="n">
        <v>2</v>
      </c>
      <c r="M86" s="10" t="n">
        <v>1</v>
      </c>
      <c r="N86" s="10" t="n">
        <v>2</v>
      </c>
      <c r="O86" s="10" t="n">
        <v>1</v>
      </c>
      <c r="P86" s="10" t="s">
        <v>65</v>
      </c>
      <c r="Q86" s="10" t="s">
        <v>88</v>
      </c>
      <c r="R86" s="10" t="s">
        <v>105</v>
      </c>
      <c r="S86" s="10" t="s">
        <v>90</v>
      </c>
      <c r="T86" s="10" t="s">
        <v>121</v>
      </c>
      <c r="U86" s="10" t="n">
        <v>2</v>
      </c>
      <c r="V86" s="10" t="s">
        <v>122</v>
      </c>
      <c r="W86" s="10" t="s">
        <v>171</v>
      </c>
      <c r="X86" s="10" t="n">
        <v>1</v>
      </c>
      <c r="Y86" s="10" t="s">
        <v>864</v>
      </c>
      <c r="Z86" s="10" t="s">
        <v>69</v>
      </c>
      <c r="AA86" s="10" t="s">
        <v>110</v>
      </c>
      <c r="AB86" s="10" t="s">
        <v>72</v>
      </c>
      <c r="AC86" s="10" t="s">
        <v>74</v>
      </c>
      <c r="AD86" s="10" t="s">
        <v>251</v>
      </c>
      <c r="AE86" s="10" t="s">
        <v>112</v>
      </c>
      <c r="AF86" s="10" t="s">
        <v>77</v>
      </c>
      <c r="AG86" s="10" t="s">
        <v>126</v>
      </c>
      <c r="AH86" s="10" t="s">
        <v>865</v>
      </c>
    </row>
    <row r="87" customFormat="false" ht="79.85" hidden="false" customHeight="false" outlineLevel="0" collapsed="false">
      <c r="A87" s="10" t="s">
        <v>866</v>
      </c>
      <c r="B87" s="10" t="s">
        <v>867</v>
      </c>
      <c r="C87" s="10" t="s">
        <v>364</v>
      </c>
      <c r="D87" s="10" t="s">
        <v>868</v>
      </c>
      <c r="E87" s="10" t="s">
        <v>101</v>
      </c>
      <c r="F87" s="10" t="s">
        <v>84</v>
      </c>
      <c r="G87" s="10" t="s">
        <v>76</v>
      </c>
      <c r="H87" s="10" t="n">
        <v>2</v>
      </c>
      <c r="I87" s="10" t="s">
        <v>869</v>
      </c>
      <c r="J87" s="10" t="n">
        <v>2</v>
      </c>
      <c r="K87" s="10" t="s">
        <v>870</v>
      </c>
      <c r="L87" s="10" t="n">
        <v>2</v>
      </c>
      <c r="M87" s="10" t="n">
        <v>0</v>
      </c>
      <c r="N87" s="10" t="n">
        <v>2</v>
      </c>
      <c r="O87" s="10" t="n">
        <v>1</v>
      </c>
      <c r="P87" s="10" t="s">
        <v>87</v>
      </c>
      <c r="Q87" s="10" t="s">
        <v>88</v>
      </c>
      <c r="R87" s="10" t="s">
        <v>105</v>
      </c>
      <c r="S87" s="10" t="s">
        <v>90</v>
      </c>
      <c r="T87" s="10" t="s">
        <v>871</v>
      </c>
      <c r="U87" s="10" t="n">
        <v>0</v>
      </c>
      <c r="V87" s="10" t="s">
        <v>70</v>
      </c>
      <c r="W87" s="10" t="s">
        <v>69</v>
      </c>
      <c r="X87" s="10" t="n">
        <v>2</v>
      </c>
      <c r="Y87" s="10" t="s">
        <v>872</v>
      </c>
      <c r="Z87" s="10" t="s">
        <v>873</v>
      </c>
      <c r="AA87" s="10" t="s">
        <v>72</v>
      </c>
      <c r="AB87" s="10" t="s">
        <v>73</v>
      </c>
      <c r="AC87" s="10" t="s">
        <v>74</v>
      </c>
      <c r="AD87" s="10" t="s">
        <v>874</v>
      </c>
      <c r="AE87" s="10" t="s">
        <v>112</v>
      </c>
      <c r="AF87" s="10" t="s">
        <v>77</v>
      </c>
      <c r="AG87" s="10" t="s">
        <v>126</v>
      </c>
      <c r="AH87" s="10" t="s">
        <v>875</v>
      </c>
    </row>
    <row r="88" customFormat="false" ht="46.25" hidden="false" customHeight="false" outlineLevel="0" collapsed="false">
      <c r="A88" s="10" t="s">
        <v>876</v>
      </c>
      <c r="B88" s="10" t="s">
        <v>877</v>
      </c>
      <c r="C88" s="10" t="s">
        <v>166</v>
      </c>
      <c r="D88" s="10" t="s">
        <v>878</v>
      </c>
      <c r="E88" s="10" t="s">
        <v>101</v>
      </c>
      <c r="F88" s="10" t="s">
        <v>879</v>
      </c>
      <c r="G88" s="10" t="s">
        <v>76</v>
      </c>
      <c r="H88" s="10" t="n">
        <v>3</v>
      </c>
      <c r="I88" s="10" t="s">
        <v>880</v>
      </c>
      <c r="J88" s="10" t="n">
        <v>2</v>
      </c>
      <c r="K88" s="10" t="s">
        <v>881</v>
      </c>
      <c r="L88" s="10" t="n">
        <v>1</v>
      </c>
      <c r="M88" s="10" t="n">
        <v>0</v>
      </c>
      <c r="N88" s="10" t="n">
        <v>1</v>
      </c>
      <c r="O88" s="10" t="n">
        <v>1</v>
      </c>
      <c r="P88" s="10" t="s">
        <v>87</v>
      </c>
      <c r="Q88" s="10" t="s">
        <v>882</v>
      </c>
      <c r="R88" s="10" t="s">
        <v>67</v>
      </c>
      <c r="S88" s="10" t="s">
        <v>882</v>
      </c>
      <c r="T88" s="10" t="s">
        <v>883</v>
      </c>
      <c r="U88" s="10" t="n">
        <v>0</v>
      </c>
      <c r="V88" s="10" t="s">
        <v>70</v>
      </c>
      <c r="W88" s="10" t="s">
        <v>69</v>
      </c>
      <c r="X88" s="10" t="n">
        <v>1</v>
      </c>
      <c r="Y88" s="10" t="s">
        <v>884</v>
      </c>
      <c r="Z88" s="10" t="s">
        <v>69</v>
      </c>
      <c r="AA88" s="10" t="s">
        <v>110</v>
      </c>
      <c r="AB88" s="10" t="s">
        <v>72</v>
      </c>
      <c r="AC88" s="10" t="s">
        <v>94</v>
      </c>
      <c r="AD88" s="10" t="s">
        <v>95</v>
      </c>
      <c r="AE88" s="10" t="s">
        <v>62</v>
      </c>
      <c r="AF88" s="10" t="s">
        <v>77</v>
      </c>
      <c r="AG88" s="10" t="s">
        <v>126</v>
      </c>
      <c r="AH88" s="10" t="s">
        <v>885</v>
      </c>
    </row>
    <row r="89" customFormat="false" ht="225.35" hidden="false" customHeight="false" outlineLevel="0" collapsed="false">
      <c r="A89" s="10" t="s">
        <v>886</v>
      </c>
      <c r="B89" s="10" t="s">
        <v>887</v>
      </c>
      <c r="C89" s="10" t="s">
        <v>312</v>
      </c>
      <c r="D89" s="10" t="s">
        <v>888</v>
      </c>
      <c r="E89" s="10" t="s">
        <v>101</v>
      </c>
      <c r="F89" s="10" t="s">
        <v>889</v>
      </c>
      <c r="G89" s="10" t="s">
        <v>112</v>
      </c>
      <c r="H89" s="10" t="n">
        <v>2</v>
      </c>
      <c r="I89" s="10" t="s">
        <v>890</v>
      </c>
      <c r="J89" s="10" t="n">
        <v>2</v>
      </c>
      <c r="K89" s="10" t="s">
        <v>891</v>
      </c>
      <c r="L89" s="10" t="n">
        <v>2</v>
      </c>
      <c r="M89" s="10" t="n">
        <v>0</v>
      </c>
      <c r="N89" s="10" t="n">
        <v>2</v>
      </c>
      <c r="O89" s="10" t="n">
        <v>1</v>
      </c>
      <c r="P89" s="10" t="s">
        <v>87</v>
      </c>
      <c r="Q89" s="10" t="s">
        <v>389</v>
      </c>
      <c r="R89" s="10" t="s">
        <v>105</v>
      </c>
      <c r="S89" s="10" t="s">
        <v>892</v>
      </c>
      <c r="T89" s="10" t="s">
        <v>121</v>
      </c>
      <c r="U89" s="10" t="n">
        <v>0</v>
      </c>
      <c r="V89" s="10" t="s">
        <v>70</v>
      </c>
      <c r="W89" s="10" t="s">
        <v>69</v>
      </c>
      <c r="X89" s="10" t="n">
        <v>2</v>
      </c>
      <c r="Y89" s="10" t="s">
        <v>893</v>
      </c>
      <c r="Z89" s="10" t="s">
        <v>894</v>
      </c>
      <c r="AA89" s="10" t="s">
        <v>110</v>
      </c>
      <c r="AB89" s="10" t="s">
        <v>72</v>
      </c>
      <c r="AC89" s="10" t="s">
        <v>74</v>
      </c>
      <c r="AD89" s="10" t="s">
        <v>251</v>
      </c>
      <c r="AE89" s="10" t="s">
        <v>112</v>
      </c>
      <c r="AF89" s="10" t="s">
        <v>382</v>
      </c>
      <c r="AG89" s="10" t="s">
        <v>726</v>
      </c>
      <c r="AH89" s="10" t="s">
        <v>383</v>
      </c>
    </row>
    <row r="90" customFormat="false" ht="158.2" hidden="false" customHeight="false" outlineLevel="0" collapsed="false">
      <c r="A90" s="10" t="s">
        <v>895</v>
      </c>
      <c r="B90" s="10" t="s">
        <v>896</v>
      </c>
      <c r="C90" s="10" t="s">
        <v>321</v>
      </c>
      <c r="D90" s="10" t="s">
        <v>897</v>
      </c>
      <c r="E90" s="10" t="s">
        <v>101</v>
      </c>
      <c r="F90" s="10" t="s">
        <v>898</v>
      </c>
      <c r="G90" s="10" t="s">
        <v>76</v>
      </c>
      <c r="H90" s="10" t="n">
        <v>2</v>
      </c>
      <c r="I90" s="10" t="s">
        <v>899</v>
      </c>
      <c r="J90" s="10" t="n">
        <v>2</v>
      </c>
      <c r="K90" s="10" t="s">
        <v>502</v>
      </c>
      <c r="L90" s="10" t="n">
        <v>1</v>
      </c>
      <c r="M90" s="10" t="n">
        <v>1</v>
      </c>
      <c r="N90" s="10" t="n">
        <v>0</v>
      </c>
      <c r="O90" s="10" t="n">
        <v>1</v>
      </c>
      <c r="P90" s="10" t="s">
        <v>443</v>
      </c>
      <c r="Q90" s="10" t="s">
        <v>104</v>
      </c>
      <c r="R90" s="10" t="s">
        <v>105</v>
      </c>
      <c r="S90" s="10" t="s">
        <v>900</v>
      </c>
      <c r="T90" s="10" t="s">
        <v>901</v>
      </c>
      <c r="U90" s="10" t="n">
        <v>0</v>
      </c>
      <c r="V90" s="10" t="s">
        <v>70</v>
      </c>
      <c r="W90" s="10" t="s">
        <v>69</v>
      </c>
      <c r="X90" s="10" t="n">
        <v>2</v>
      </c>
      <c r="Y90" s="10" t="s">
        <v>902</v>
      </c>
      <c r="Z90" s="10" t="s">
        <v>903</v>
      </c>
      <c r="AA90" s="10" t="s">
        <v>110</v>
      </c>
      <c r="AB90" s="10" t="s">
        <v>72</v>
      </c>
      <c r="AC90" s="10" t="s">
        <v>74</v>
      </c>
      <c r="AD90" s="10" t="s">
        <v>251</v>
      </c>
      <c r="AE90" s="10" t="s">
        <v>112</v>
      </c>
      <c r="AF90" s="10" t="s">
        <v>382</v>
      </c>
      <c r="AG90" s="10" t="s">
        <v>126</v>
      </c>
      <c r="AH90" s="10" t="s">
        <v>904</v>
      </c>
    </row>
    <row r="91" customFormat="false" ht="147" hidden="false" customHeight="false" outlineLevel="0" collapsed="false">
      <c r="A91" s="10" t="s">
        <v>905</v>
      </c>
      <c r="B91" s="10" t="s">
        <v>906</v>
      </c>
      <c r="C91" s="10" t="s">
        <v>58</v>
      </c>
      <c r="D91" s="10" t="s">
        <v>907</v>
      </c>
      <c r="E91" s="10" t="s">
        <v>101</v>
      </c>
      <c r="F91" s="10" t="s">
        <v>908</v>
      </c>
      <c r="G91" s="10" t="s">
        <v>112</v>
      </c>
      <c r="H91" s="10" t="n">
        <v>2</v>
      </c>
      <c r="I91" s="10" t="s">
        <v>909</v>
      </c>
      <c r="J91" s="10" t="n">
        <v>2</v>
      </c>
      <c r="K91" s="10" t="s">
        <v>502</v>
      </c>
      <c r="L91" s="10" t="n">
        <v>1</v>
      </c>
      <c r="M91" s="10" t="n">
        <v>1</v>
      </c>
      <c r="N91" s="10" t="n">
        <v>0</v>
      </c>
      <c r="O91" s="10" t="n">
        <v>1</v>
      </c>
      <c r="P91" s="10" t="s">
        <v>443</v>
      </c>
      <c r="Q91" s="10" t="s">
        <v>104</v>
      </c>
      <c r="R91" s="10" t="s">
        <v>67</v>
      </c>
      <c r="S91" s="10" t="s">
        <v>910</v>
      </c>
      <c r="T91" s="10" t="s">
        <v>911</v>
      </c>
      <c r="U91" s="10" t="n">
        <v>0</v>
      </c>
      <c r="V91" s="10" t="s">
        <v>70</v>
      </c>
      <c r="W91" s="10" t="s">
        <v>69</v>
      </c>
      <c r="X91" s="10" t="n">
        <v>2</v>
      </c>
      <c r="Y91" s="10" t="s">
        <v>912</v>
      </c>
      <c r="Z91" s="10" t="s">
        <v>913</v>
      </c>
      <c r="AA91" s="10" t="s">
        <v>110</v>
      </c>
      <c r="AB91" s="10" t="s">
        <v>72</v>
      </c>
      <c r="AC91" s="10" t="s">
        <v>74</v>
      </c>
      <c r="AD91" s="10" t="s">
        <v>251</v>
      </c>
      <c r="AE91" s="10" t="s">
        <v>112</v>
      </c>
      <c r="AF91" s="10" t="s">
        <v>647</v>
      </c>
      <c r="AG91" s="10" t="s">
        <v>360</v>
      </c>
      <c r="AH91" s="10" t="s">
        <v>904</v>
      </c>
    </row>
    <row r="92" customFormat="false" ht="147" hidden="false" customHeight="false" outlineLevel="0" collapsed="false">
      <c r="A92" s="10" t="s">
        <v>914</v>
      </c>
      <c r="B92" s="10" t="s">
        <v>915</v>
      </c>
      <c r="C92" s="10" t="s">
        <v>185</v>
      </c>
      <c r="D92" s="10" t="s">
        <v>916</v>
      </c>
      <c r="E92" s="10" t="s">
        <v>101</v>
      </c>
      <c r="F92" s="10" t="s">
        <v>917</v>
      </c>
      <c r="G92" s="10" t="s">
        <v>62</v>
      </c>
      <c r="H92" s="10" t="n">
        <v>3</v>
      </c>
      <c r="I92" s="10" t="s">
        <v>918</v>
      </c>
      <c r="J92" s="10" t="n">
        <v>3</v>
      </c>
      <c r="K92" s="10" t="s">
        <v>333</v>
      </c>
      <c r="L92" s="10" t="n">
        <v>2</v>
      </c>
      <c r="M92" s="10" t="n">
        <v>0</v>
      </c>
      <c r="N92" s="10" t="n">
        <v>2</v>
      </c>
      <c r="O92" s="10" t="n">
        <v>1</v>
      </c>
      <c r="P92" s="10" t="s">
        <v>87</v>
      </c>
      <c r="Q92" s="10" t="s">
        <v>389</v>
      </c>
      <c r="R92" s="10" t="s">
        <v>105</v>
      </c>
      <c r="S92" s="10" t="s">
        <v>919</v>
      </c>
      <c r="T92" s="10" t="s">
        <v>920</v>
      </c>
      <c r="U92" s="10" t="n">
        <v>0</v>
      </c>
      <c r="V92" s="10" t="s">
        <v>70</v>
      </c>
      <c r="W92" s="10" t="s">
        <v>69</v>
      </c>
      <c r="X92" s="10" t="n">
        <v>2</v>
      </c>
      <c r="Y92" s="10" t="s">
        <v>921</v>
      </c>
      <c r="Z92" s="10" t="s">
        <v>922</v>
      </c>
      <c r="AA92" s="10" t="s">
        <v>110</v>
      </c>
      <c r="AB92" s="10" t="s">
        <v>72</v>
      </c>
      <c r="AC92" s="10" t="s">
        <v>74</v>
      </c>
      <c r="AD92" s="10" t="s">
        <v>532</v>
      </c>
      <c r="AE92" s="10" t="s">
        <v>112</v>
      </c>
      <c r="AF92" s="10" t="s">
        <v>77</v>
      </c>
      <c r="AG92" s="10" t="s">
        <v>126</v>
      </c>
      <c r="AH92" s="10" t="s">
        <v>923</v>
      </c>
    </row>
    <row r="93" customFormat="false" ht="135.8" hidden="false" customHeight="false" outlineLevel="0" collapsed="false">
      <c r="A93" s="10" t="s">
        <v>924</v>
      </c>
      <c r="B93" s="10" t="s">
        <v>925</v>
      </c>
      <c r="C93" s="10" t="s">
        <v>321</v>
      </c>
      <c r="D93" s="10" t="s">
        <v>926</v>
      </c>
      <c r="E93" s="10" t="s">
        <v>101</v>
      </c>
      <c r="F93" s="10" t="s">
        <v>927</v>
      </c>
      <c r="G93" s="10" t="s">
        <v>76</v>
      </c>
      <c r="H93" s="10" t="n">
        <v>2</v>
      </c>
      <c r="I93" s="10" t="s">
        <v>928</v>
      </c>
      <c r="J93" s="10" t="n">
        <v>3</v>
      </c>
      <c r="K93" s="10" t="s">
        <v>333</v>
      </c>
      <c r="L93" s="10" t="n">
        <v>1</v>
      </c>
      <c r="M93" s="10" t="n">
        <v>0</v>
      </c>
      <c r="N93" s="10" t="n">
        <v>0</v>
      </c>
      <c r="O93" s="10" t="n">
        <v>1</v>
      </c>
      <c r="P93" s="10" t="s">
        <v>87</v>
      </c>
      <c r="Q93" s="10" t="s">
        <v>104</v>
      </c>
      <c r="R93" s="10" t="s">
        <v>105</v>
      </c>
      <c r="S93" s="10" t="s">
        <v>106</v>
      </c>
      <c r="T93" s="10" t="s">
        <v>929</v>
      </c>
      <c r="U93" s="10" t="n">
        <v>0</v>
      </c>
      <c r="V93" s="10" t="s">
        <v>70</v>
      </c>
      <c r="W93" s="10" t="s">
        <v>69</v>
      </c>
      <c r="X93" s="10" t="n">
        <v>2</v>
      </c>
      <c r="Y93" s="10" t="s">
        <v>930</v>
      </c>
      <c r="Z93" s="10" t="s">
        <v>931</v>
      </c>
      <c r="AA93" s="10" t="s">
        <v>72</v>
      </c>
      <c r="AB93" s="10" t="s">
        <v>110</v>
      </c>
      <c r="AC93" s="10" t="s">
        <v>94</v>
      </c>
      <c r="AD93" s="10" t="s">
        <v>95</v>
      </c>
      <c r="AE93" s="10" t="s">
        <v>62</v>
      </c>
      <c r="AF93" s="10" t="s">
        <v>382</v>
      </c>
      <c r="AG93" s="10" t="s">
        <v>149</v>
      </c>
      <c r="AH93" s="10" t="s">
        <v>223</v>
      </c>
    </row>
    <row r="94" customFormat="false" ht="147" hidden="false" customHeight="false" outlineLevel="0" collapsed="false">
      <c r="A94" s="10" t="s">
        <v>932</v>
      </c>
      <c r="B94" s="10" t="s">
        <v>933</v>
      </c>
      <c r="C94" s="10" t="s">
        <v>99</v>
      </c>
      <c r="D94" s="10" t="s">
        <v>934</v>
      </c>
      <c r="E94" s="10" t="s">
        <v>101</v>
      </c>
      <c r="F94" s="10" t="s">
        <v>935</v>
      </c>
      <c r="G94" s="10" t="s">
        <v>112</v>
      </c>
      <c r="H94" s="10" t="n">
        <v>3</v>
      </c>
      <c r="I94" s="10" t="s">
        <v>936</v>
      </c>
      <c r="J94" s="10" t="n">
        <v>2</v>
      </c>
      <c r="K94" s="10" t="s">
        <v>228</v>
      </c>
      <c r="L94" s="10" t="n">
        <v>2</v>
      </c>
      <c r="M94" s="10" t="n">
        <v>0</v>
      </c>
      <c r="N94" s="10" t="n">
        <v>2</v>
      </c>
      <c r="O94" s="10" t="n">
        <v>1</v>
      </c>
      <c r="P94" s="10" t="s">
        <v>87</v>
      </c>
      <c r="Q94" s="10" t="s">
        <v>937</v>
      </c>
      <c r="R94" s="10" t="s">
        <v>105</v>
      </c>
      <c r="S94" s="10" t="s">
        <v>938</v>
      </c>
      <c r="T94" s="10" t="s">
        <v>939</v>
      </c>
      <c r="U94" s="10" t="n">
        <v>0</v>
      </c>
      <c r="V94" s="10" t="s">
        <v>70</v>
      </c>
      <c r="W94" s="10" t="s">
        <v>69</v>
      </c>
      <c r="X94" s="10" t="n">
        <v>2</v>
      </c>
      <c r="Y94" s="10" t="s">
        <v>940</v>
      </c>
      <c r="Z94" s="10" t="s">
        <v>941</v>
      </c>
      <c r="AA94" s="10" t="s">
        <v>110</v>
      </c>
      <c r="AB94" s="10" t="s">
        <v>72</v>
      </c>
      <c r="AC94" s="10" t="s">
        <v>94</v>
      </c>
      <c r="AD94" s="10" t="s">
        <v>95</v>
      </c>
      <c r="AE94" s="10" t="s">
        <v>62</v>
      </c>
      <c r="AF94" s="10" t="s">
        <v>77</v>
      </c>
      <c r="AG94" s="10" t="s">
        <v>942</v>
      </c>
      <c r="AH94" s="10" t="s">
        <v>771</v>
      </c>
    </row>
    <row r="95" customFormat="false" ht="314.9" hidden="false" customHeight="false" outlineLevel="0" collapsed="false">
      <c r="A95" s="10" t="s">
        <v>943</v>
      </c>
      <c r="B95" s="10" t="s">
        <v>944</v>
      </c>
      <c r="C95" s="10" t="s">
        <v>215</v>
      </c>
      <c r="D95" s="10" t="s">
        <v>945</v>
      </c>
      <c r="E95" s="10" t="s">
        <v>60</v>
      </c>
      <c r="F95" s="10" t="s">
        <v>946</v>
      </c>
      <c r="G95" s="10" t="s">
        <v>112</v>
      </c>
      <c r="H95" s="10" t="n">
        <v>2</v>
      </c>
      <c r="I95" s="10" t="s">
        <v>947</v>
      </c>
      <c r="J95" s="10" t="n">
        <v>2</v>
      </c>
      <c r="K95" s="10" t="s">
        <v>948</v>
      </c>
      <c r="L95" s="10" t="n">
        <v>1</v>
      </c>
      <c r="M95" s="10" t="n">
        <v>1</v>
      </c>
      <c r="N95" s="10" t="n">
        <v>0</v>
      </c>
      <c r="O95" s="10" t="n">
        <v>1</v>
      </c>
      <c r="P95" s="10" t="s">
        <v>65</v>
      </c>
      <c r="Q95" s="10" t="s">
        <v>266</v>
      </c>
      <c r="R95" s="10" t="s">
        <v>105</v>
      </c>
      <c r="S95" s="10" t="s">
        <v>949</v>
      </c>
      <c r="T95" s="10" t="s">
        <v>121</v>
      </c>
      <c r="U95" s="10" t="n">
        <v>2</v>
      </c>
      <c r="V95" s="10" t="s">
        <v>122</v>
      </c>
      <c r="W95" s="10" t="s">
        <v>171</v>
      </c>
      <c r="X95" s="10" t="n">
        <v>1</v>
      </c>
      <c r="Y95" s="10" t="s">
        <v>950</v>
      </c>
      <c r="Z95" s="10" t="s">
        <v>69</v>
      </c>
      <c r="AA95" s="10" t="s">
        <v>72</v>
      </c>
      <c r="AB95" s="10" t="s">
        <v>110</v>
      </c>
      <c r="AC95" s="10" t="s">
        <v>74</v>
      </c>
      <c r="AD95" s="10" t="s">
        <v>75</v>
      </c>
      <c r="AE95" s="10" t="s">
        <v>76</v>
      </c>
      <c r="AF95" s="10" t="s">
        <v>77</v>
      </c>
      <c r="AG95" s="10" t="s">
        <v>126</v>
      </c>
      <c r="AH95" s="10" t="s">
        <v>951</v>
      </c>
    </row>
    <row r="96" customFormat="false" ht="158.2" hidden="false" customHeight="false" outlineLevel="0" collapsed="false">
      <c r="A96" s="10" t="s">
        <v>952</v>
      </c>
      <c r="B96" s="10" t="s">
        <v>953</v>
      </c>
      <c r="C96" s="10" t="s">
        <v>215</v>
      </c>
      <c r="D96" s="10" t="s">
        <v>954</v>
      </c>
      <c r="E96" s="10" t="s">
        <v>60</v>
      </c>
      <c r="F96" s="10" t="s">
        <v>955</v>
      </c>
      <c r="G96" s="10" t="s">
        <v>62</v>
      </c>
      <c r="H96" s="10" t="n">
        <v>2</v>
      </c>
      <c r="I96" s="10" t="s">
        <v>956</v>
      </c>
      <c r="J96" s="10" t="n">
        <v>2</v>
      </c>
      <c r="K96" s="10" t="s">
        <v>957</v>
      </c>
      <c r="L96" s="10" t="n">
        <v>2</v>
      </c>
      <c r="M96" s="10" t="n">
        <v>2</v>
      </c>
      <c r="N96" s="10" t="n">
        <v>3</v>
      </c>
      <c r="O96" s="10" t="n">
        <v>1</v>
      </c>
      <c r="P96" s="10" t="s">
        <v>958</v>
      </c>
      <c r="Q96" s="10" t="s">
        <v>169</v>
      </c>
      <c r="R96" s="10" t="s">
        <v>105</v>
      </c>
      <c r="S96" s="10" t="s">
        <v>170</v>
      </c>
      <c r="T96" s="10" t="s">
        <v>121</v>
      </c>
      <c r="U96" s="10" t="n">
        <v>2</v>
      </c>
      <c r="V96" s="10" t="s">
        <v>122</v>
      </c>
      <c r="W96" s="10" t="s">
        <v>171</v>
      </c>
      <c r="X96" s="10" t="n">
        <v>2</v>
      </c>
      <c r="Y96" s="10" t="s">
        <v>959</v>
      </c>
      <c r="Z96" s="10" t="s">
        <v>960</v>
      </c>
      <c r="AA96" s="10" t="s">
        <v>73</v>
      </c>
      <c r="AB96" s="10" t="s">
        <v>72</v>
      </c>
      <c r="AC96" s="10" t="s">
        <v>74</v>
      </c>
      <c r="AD96" s="10" t="s">
        <v>961</v>
      </c>
      <c r="AE96" s="10" t="s">
        <v>112</v>
      </c>
      <c r="AF96" s="10" t="s">
        <v>77</v>
      </c>
      <c r="AG96" s="10" t="s">
        <v>126</v>
      </c>
      <c r="AH96" s="10" t="s">
        <v>962</v>
      </c>
    </row>
    <row r="97" customFormat="false" ht="124.6" hidden="false" customHeight="false" outlineLevel="0" collapsed="false">
      <c r="A97" s="10" t="s">
        <v>963</v>
      </c>
      <c r="B97" s="10" t="s">
        <v>964</v>
      </c>
      <c r="C97" s="10" t="s">
        <v>138</v>
      </c>
      <c r="D97" s="10" t="s">
        <v>965</v>
      </c>
      <c r="E97" s="10" t="s">
        <v>101</v>
      </c>
      <c r="F97" s="10" t="s">
        <v>966</v>
      </c>
      <c r="G97" s="10" t="s">
        <v>112</v>
      </c>
      <c r="H97" s="10" t="n">
        <v>3</v>
      </c>
      <c r="I97" s="10" t="s">
        <v>967</v>
      </c>
      <c r="J97" s="10" t="n">
        <v>3</v>
      </c>
      <c r="K97" s="10" t="s">
        <v>333</v>
      </c>
      <c r="L97" s="10" t="n">
        <v>1</v>
      </c>
      <c r="M97" s="10" t="n">
        <v>0</v>
      </c>
      <c r="N97" s="10" t="n">
        <v>1</v>
      </c>
      <c r="O97" s="10" t="n">
        <v>1</v>
      </c>
      <c r="P97" s="10" t="s">
        <v>87</v>
      </c>
      <c r="Q97" s="10" t="s">
        <v>257</v>
      </c>
      <c r="R97" s="10" t="s">
        <v>105</v>
      </c>
      <c r="S97" s="10" t="s">
        <v>968</v>
      </c>
      <c r="T97" s="10" t="s">
        <v>969</v>
      </c>
      <c r="U97" s="10" t="n">
        <v>2</v>
      </c>
      <c r="V97" s="10" t="s">
        <v>970</v>
      </c>
      <c r="W97" s="10" t="s">
        <v>971</v>
      </c>
      <c r="X97" s="10" t="n">
        <v>2</v>
      </c>
      <c r="Y97" s="10" t="s">
        <v>972</v>
      </c>
      <c r="Z97" s="10" t="s">
        <v>973</v>
      </c>
      <c r="AA97" s="10" t="s">
        <v>110</v>
      </c>
      <c r="AB97" s="10" t="s">
        <v>72</v>
      </c>
      <c r="AC97" s="10" t="s">
        <v>74</v>
      </c>
      <c r="AD97" s="10" t="s">
        <v>532</v>
      </c>
      <c r="AE97" s="10" t="s">
        <v>112</v>
      </c>
      <c r="AF97" s="10" t="s">
        <v>382</v>
      </c>
      <c r="AG97" s="10" t="s">
        <v>126</v>
      </c>
      <c r="AH97" s="10" t="s">
        <v>974</v>
      </c>
    </row>
    <row r="98" customFormat="false" ht="147" hidden="false" customHeight="false" outlineLevel="0" collapsed="false">
      <c r="A98" s="10" t="s">
        <v>975</v>
      </c>
      <c r="B98" s="10" t="s">
        <v>720</v>
      </c>
      <c r="C98" s="10" t="s">
        <v>185</v>
      </c>
      <c r="D98" s="10" t="s">
        <v>976</v>
      </c>
      <c r="E98" s="10" t="s">
        <v>101</v>
      </c>
      <c r="F98" s="10" t="s">
        <v>977</v>
      </c>
      <c r="G98" s="10" t="s">
        <v>62</v>
      </c>
      <c r="H98" s="10" t="n">
        <v>1</v>
      </c>
      <c r="I98" s="10" t="s">
        <v>978</v>
      </c>
      <c r="J98" s="10" t="n">
        <v>3</v>
      </c>
      <c r="K98" s="10" t="s">
        <v>218</v>
      </c>
      <c r="L98" s="10" t="n">
        <v>1</v>
      </c>
      <c r="M98" s="10" t="n">
        <v>2</v>
      </c>
      <c r="N98" s="10" t="n">
        <v>0</v>
      </c>
      <c r="O98" s="10" t="n">
        <v>1</v>
      </c>
      <c r="P98" s="10" t="s">
        <v>979</v>
      </c>
      <c r="Q98" s="10" t="s">
        <v>104</v>
      </c>
      <c r="R98" s="10" t="s">
        <v>105</v>
      </c>
      <c r="S98" s="10" t="s">
        <v>980</v>
      </c>
      <c r="T98" s="10" t="s">
        <v>981</v>
      </c>
      <c r="U98" s="10" t="n">
        <v>2</v>
      </c>
      <c r="V98" s="10" t="s">
        <v>122</v>
      </c>
      <c r="W98" s="10" t="s">
        <v>171</v>
      </c>
      <c r="X98" s="10" t="n">
        <v>2</v>
      </c>
      <c r="Y98" s="10" t="s">
        <v>982</v>
      </c>
      <c r="Z98" s="10" t="s">
        <v>983</v>
      </c>
      <c r="AA98" s="10" t="s">
        <v>72</v>
      </c>
      <c r="AB98" s="10" t="s">
        <v>70</v>
      </c>
      <c r="AC98" s="10" t="s">
        <v>94</v>
      </c>
      <c r="AD98" s="10" t="s">
        <v>95</v>
      </c>
      <c r="AE98" s="10" t="s">
        <v>62</v>
      </c>
      <c r="AF98" s="10" t="s">
        <v>77</v>
      </c>
      <c r="AG98" s="10" t="s">
        <v>984</v>
      </c>
      <c r="AH98" s="10" t="s">
        <v>985</v>
      </c>
    </row>
    <row r="99" customFormat="false" ht="113.4" hidden="false" customHeight="false" outlineLevel="0" collapsed="false">
      <c r="A99" s="10" t="s">
        <v>986</v>
      </c>
      <c r="B99" s="10" t="s">
        <v>987</v>
      </c>
      <c r="C99" s="10" t="s">
        <v>99</v>
      </c>
      <c r="D99" s="10" t="s">
        <v>988</v>
      </c>
      <c r="E99" s="10" t="s">
        <v>60</v>
      </c>
      <c r="F99" s="10" t="s">
        <v>989</v>
      </c>
      <c r="G99" s="10" t="s">
        <v>62</v>
      </c>
      <c r="H99" s="10" t="n">
        <v>3</v>
      </c>
      <c r="I99" s="10" t="s">
        <v>990</v>
      </c>
      <c r="J99" s="10" t="n">
        <v>3</v>
      </c>
      <c r="K99" s="10" t="s">
        <v>141</v>
      </c>
      <c r="L99" s="10" t="n">
        <v>2</v>
      </c>
      <c r="M99" s="10" t="n">
        <v>1</v>
      </c>
      <c r="N99" s="10" t="n">
        <v>2</v>
      </c>
      <c r="O99" s="10" t="n">
        <v>2</v>
      </c>
      <c r="P99" s="10" t="s">
        <v>65</v>
      </c>
      <c r="Q99" s="10" t="s">
        <v>823</v>
      </c>
      <c r="R99" s="10" t="s">
        <v>991</v>
      </c>
      <c r="S99" s="10" t="s">
        <v>992</v>
      </c>
      <c r="T99" s="10" t="s">
        <v>993</v>
      </c>
      <c r="U99" s="10" t="n">
        <v>0</v>
      </c>
      <c r="V99" s="10" t="s">
        <v>70</v>
      </c>
      <c r="W99" s="10" t="s">
        <v>69</v>
      </c>
      <c r="X99" s="10" t="n">
        <v>2</v>
      </c>
      <c r="Y99" s="10" t="s">
        <v>994</v>
      </c>
      <c r="Z99" s="10" t="s">
        <v>995</v>
      </c>
      <c r="AA99" s="10" t="s">
        <v>72</v>
      </c>
      <c r="AB99" s="10" t="s">
        <v>110</v>
      </c>
      <c r="AC99" s="10" t="s">
        <v>74</v>
      </c>
      <c r="AD99" s="10" t="s">
        <v>778</v>
      </c>
      <c r="AE99" s="10" t="s">
        <v>76</v>
      </c>
      <c r="AF99" s="10" t="s">
        <v>77</v>
      </c>
      <c r="AG99" s="10" t="s">
        <v>126</v>
      </c>
      <c r="AH99" s="10" t="s">
        <v>996</v>
      </c>
    </row>
    <row r="100" customFormat="false" ht="57.45" hidden="false" customHeight="false" outlineLevel="0" collapsed="false">
      <c r="A100" s="10" t="s">
        <v>997</v>
      </c>
      <c r="B100" s="10" t="s">
        <v>998</v>
      </c>
      <c r="C100" s="10" t="s">
        <v>130</v>
      </c>
      <c r="D100" s="10" t="s">
        <v>999</v>
      </c>
      <c r="E100" s="10" t="s">
        <v>60</v>
      </c>
      <c r="F100" s="10" t="s">
        <v>61</v>
      </c>
      <c r="G100" s="10" t="s">
        <v>112</v>
      </c>
      <c r="H100" s="10" t="n">
        <v>3</v>
      </c>
      <c r="I100" s="10" t="s">
        <v>1000</v>
      </c>
      <c r="J100" s="10" t="n">
        <v>3</v>
      </c>
      <c r="K100" s="10" t="s">
        <v>141</v>
      </c>
      <c r="L100" s="10" t="n">
        <v>2</v>
      </c>
      <c r="M100" s="10" t="n">
        <v>1</v>
      </c>
      <c r="N100" s="10" t="n">
        <v>3</v>
      </c>
      <c r="O100" s="10" t="n">
        <v>1</v>
      </c>
      <c r="P100" s="10" t="s">
        <v>65</v>
      </c>
      <c r="Q100" s="10" t="s">
        <v>325</v>
      </c>
      <c r="R100" s="10" t="s">
        <v>105</v>
      </c>
      <c r="S100" s="10" t="s">
        <v>1001</v>
      </c>
      <c r="T100" s="10" t="s">
        <v>121</v>
      </c>
      <c r="U100" s="10" t="n">
        <v>0</v>
      </c>
      <c r="V100" s="10" t="s">
        <v>70</v>
      </c>
      <c r="W100" s="10" t="s">
        <v>69</v>
      </c>
      <c r="X100" s="10" t="n">
        <v>2</v>
      </c>
      <c r="Y100" s="10" t="s">
        <v>1002</v>
      </c>
      <c r="Z100" s="10" t="s">
        <v>1003</v>
      </c>
      <c r="AA100" s="10" t="s">
        <v>110</v>
      </c>
      <c r="AB100" s="10" t="s">
        <v>72</v>
      </c>
      <c r="AC100" s="10" t="s">
        <v>74</v>
      </c>
      <c r="AD100" s="10" t="s">
        <v>532</v>
      </c>
      <c r="AE100" s="10" t="s">
        <v>112</v>
      </c>
      <c r="AF100" s="10" t="s">
        <v>77</v>
      </c>
      <c r="AG100" s="10" t="s">
        <v>126</v>
      </c>
      <c r="AH100" s="10" t="s">
        <v>533</v>
      </c>
    </row>
    <row r="101" customFormat="false" ht="46.25" hidden="false" customHeight="false" outlineLevel="0" collapsed="false">
      <c r="A101" s="10" t="s">
        <v>1004</v>
      </c>
      <c r="B101" s="10" t="s">
        <v>1005</v>
      </c>
      <c r="C101" s="10" t="s">
        <v>281</v>
      </c>
      <c r="D101" s="10" t="s">
        <v>1006</v>
      </c>
      <c r="E101" s="10" t="s">
        <v>60</v>
      </c>
      <c r="F101" s="10" t="s">
        <v>84</v>
      </c>
      <c r="G101" s="10" t="s">
        <v>112</v>
      </c>
      <c r="H101" s="10" t="n">
        <v>2</v>
      </c>
      <c r="I101" s="10" t="s">
        <v>1007</v>
      </c>
      <c r="J101" s="10" t="n">
        <v>3</v>
      </c>
      <c r="K101" s="10" t="s">
        <v>238</v>
      </c>
      <c r="L101" s="10" t="n">
        <v>2</v>
      </c>
      <c r="M101" s="10" t="n">
        <v>1</v>
      </c>
      <c r="N101" s="10" t="n">
        <v>2</v>
      </c>
      <c r="O101" s="10" t="n">
        <v>1</v>
      </c>
      <c r="P101" s="10" t="s">
        <v>65</v>
      </c>
      <c r="Q101" s="10" t="s">
        <v>88</v>
      </c>
      <c r="R101" s="10" t="s">
        <v>105</v>
      </c>
      <c r="S101" s="10" t="s">
        <v>90</v>
      </c>
      <c r="T101" s="10" t="s">
        <v>121</v>
      </c>
      <c r="U101" s="10" t="n">
        <v>2</v>
      </c>
      <c r="V101" s="10" t="s">
        <v>1008</v>
      </c>
      <c r="W101" s="10" t="s">
        <v>171</v>
      </c>
      <c r="X101" s="10" t="n">
        <v>1</v>
      </c>
      <c r="Y101" s="10" t="s">
        <v>1009</v>
      </c>
      <c r="Z101" s="10" t="s">
        <v>1010</v>
      </c>
      <c r="AA101" s="10" t="s">
        <v>72</v>
      </c>
      <c r="AB101" s="10" t="s">
        <v>73</v>
      </c>
      <c r="AC101" s="10" t="s">
        <v>94</v>
      </c>
      <c r="AD101" s="10" t="s">
        <v>95</v>
      </c>
      <c r="AE101" s="10" t="s">
        <v>62</v>
      </c>
      <c r="AF101" s="10" t="s">
        <v>77</v>
      </c>
      <c r="AG101" s="10" t="s">
        <v>78</v>
      </c>
      <c r="AH101" s="10" t="s">
        <v>826</v>
      </c>
    </row>
    <row r="102" customFormat="false" ht="46.25" hidden="false" customHeight="false" outlineLevel="0" collapsed="false">
      <c r="A102" s="10" t="s">
        <v>1011</v>
      </c>
      <c r="B102" s="10" t="s">
        <v>1012</v>
      </c>
      <c r="C102" s="10" t="s">
        <v>321</v>
      </c>
      <c r="D102" s="10" t="s">
        <v>1013</v>
      </c>
      <c r="E102" s="10" t="s">
        <v>60</v>
      </c>
      <c r="F102" s="10" t="s">
        <v>61</v>
      </c>
      <c r="G102" s="10" t="s">
        <v>62</v>
      </c>
      <c r="H102" s="10" t="n">
        <v>0</v>
      </c>
      <c r="I102" s="10" t="s">
        <v>140</v>
      </c>
      <c r="J102" s="10" t="n">
        <v>3</v>
      </c>
      <c r="K102" s="10" t="s">
        <v>168</v>
      </c>
      <c r="L102" s="10" t="n">
        <v>2</v>
      </c>
      <c r="M102" s="10" t="n">
        <v>1</v>
      </c>
      <c r="N102" s="10" t="n">
        <v>2</v>
      </c>
      <c r="O102" s="10" t="n">
        <v>1</v>
      </c>
      <c r="P102" s="10" t="s">
        <v>65</v>
      </c>
      <c r="Q102" s="10" t="s">
        <v>1014</v>
      </c>
      <c r="R102" s="10" t="s">
        <v>105</v>
      </c>
      <c r="S102" s="10" t="s">
        <v>1015</v>
      </c>
      <c r="T102" s="10" t="s">
        <v>121</v>
      </c>
      <c r="U102" s="10" t="n">
        <v>2</v>
      </c>
      <c r="V102" s="10" t="s">
        <v>1016</v>
      </c>
      <c r="W102" s="10" t="s">
        <v>1017</v>
      </c>
      <c r="X102" s="10" t="n">
        <v>2</v>
      </c>
      <c r="Y102" s="10" t="s">
        <v>1018</v>
      </c>
      <c r="Z102" s="10" t="s">
        <v>1019</v>
      </c>
      <c r="AA102" s="10" t="s">
        <v>72</v>
      </c>
      <c r="AB102" s="10" t="s">
        <v>73</v>
      </c>
      <c r="AC102" s="10" t="s">
        <v>94</v>
      </c>
      <c r="AD102" s="10" t="s">
        <v>95</v>
      </c>
      <c r="AE102" s="10" t="s">
        <v>62</v>
      </c>
      <c r="AF102" s="10" t="s">
        <v>77</v>
      </c>
      <c r="AG102" s="10" t="s">
        <v>126</v>
      </c>
      <c r="AH102" s="10" t="s">
        <v>1020</v>
      </c>
    </row>
    <row r="103" customFormat="false" ht="46.25" hidden="false" customHeight="false" outlineLevel="0" collapsed="false">
      <c r="A103" s="10" t="s">
        <v>1021</v>
      </c>
      <c r="B103" s="10" t="s">
        <v>1022</v>
      </c>
      <c r="C103" s="10" t="s">
        <v>185</v>
      </c>
      <c r="D103" s="10" t="s">
        <v>1023</v>
      </c>
      <c r="E103" s="10" t="s">
        <v>101</v>
      </c>
      <c r="F103" s="10" t="s">
        <v>84</v>
      </c>
      <c r="G103" s="10" t="s">
        <v>62</v>
      </c>
      <c r="H103" s="10" t="n">
        <v>2</v>
      </c>
      <c r="I103" s="10" t="s">
        <v>1024</v>
      </c>
      <c r="J103" s="10" t="n">
        <v>2</v>
      </c>
      <c r="K103" s="10" t="s">
        <v>1025</v>
      </c>
      <c r="L103" s="10" t="n">
        <v>2</v>
      </c>
      <c r="M103" s="10" t="n">
        <v>0</v>
      </c>
      <c r="N103" s="10" t="n">
        <v>3</v>
      </c>
      <c r="O103" s="10" t="n">
        <v>1</v>
      </c>
      <c r="P103" s="10" t="s">
        <v>87</v>
      </c>
      <c r="Q103" s="10" t="s">
        <v>169</v>
      </c>
      <c r="R103" s="10" t="s">
        <v>105</v>
      </c>
      <c r="S103" s="10" t="s">
        <v>170</v>
      </c>
      <c r="T103" s="10" t="s">
        <v>121</v>
      </c>
      <c r="U103" s="10" t="n">
        <v>0</v>
      </c>
      <c r="V103" s="10" t="s">
        <v>70</v>
      </c>
      <c r="W103" s="10" t="s">
        <v>171</v>
      </c>
      <c r="X103" s="10" t="n">
        <v>1</v>
      </c>
      <c r="Y103" s="10" t="s">
        <v>1026</v>
      </c>
      <c r="Z103" s="10" t="s">
        <v>1027</v>
      </c>
      <c r="AA103" s="10" t="s">
        <v>110</v>
      </c>
      <c r="AB103" s="10" t="s">
        <v>72</v>
      </c>
      <c r="AC103" s="10" t="s">
        <v>74</v>
      </c>
      <c r="AD103" s="10" t="s">
        <v>251</v>
      </c>
      <c r="AE103" s="10" t="s">
        <v>112</v>
      </c>
      <c r="AF103" s="10" t="s">
        <v>77</v>
      </c>
      <c r="AG103" s="10" t="s">
        <v>126</v>
      </c>
      <c r="AH103" s="10" t="s">
        <v>1028</v>
      </c>
    </row>
    <row r="104" customFormat="false" ht="35.05" hidden="false" customHeight="false" outlineLevel="0" collapsed="false">
      <c r="A104" s="10" t="s">
        <v>1029</v>
      </c>
      <c r="B104" s="10" t="s">
        <v>194</v>
      </c>
      <c r="C104" s="10" t="s">
        <v>692</v>
      </c>
      <c r="D104" s="10" t="s">
        <v>1030</v>
      </c>
      <c r="E104" s="10" t="s">
        <v>101</v>
      </c>
      <c r="F104" s="10" t="s">
        <v>61</v>
      </c>
      <c r="G104" s="10" t="s">
        <v>112</v>
      </c>
      <c r="H104" s="10" t="n">
        <v>1</v>
      </c>
      <c r="I104" s="10" t="s">
        <v>179</v>
      </c>
      <c r="J104" s="10" t="n">
        <v>2</v>
      </c>
      <c r="K104" s="10" t="s">
        <v>404</v>
      </c>
      <c r="L104" s="10" t="n">
        <v>1</v>
      </c>
      <c r="M104" s="10" t="n">
        <v>1</v>
      </c>
      <c r="N104" s="10" t="n">
        <v>0</v>
      </c>
      <c r="O104" s="10" t="n">
        <v>1</v>
      </c>
      <c r="P104" s="10" t="s">
        <v>190</v>
      </c>
      <c r="Q104" s="10" t="s">
        <v>266</v>
      </c>
      <c r="R104" s="10" t="s">
        <v>105</v>
      </c>
      <c r="S104" s="10" t="s">
        <v>1031</v>
      </c>
      <c r="T104" s="10" t="s">
        <v>121</v>
      </c>
      <c r="U104" s="10" t="n">
        <v>0</v>
      </c>
      <c r="V104" s="10" t="s">
        <v>70</v>
      </c>
      <c r="W104" s="10" t="s">
        <v>69</v>
      </c>
      <c r="X104" s="10" t="n">
        <v>1</v>
      </c>
      <c r="Y104" s="10" t="s">
        <v>1032</v>
      </c>
      <c r="Z104" s="10" t="s">
        <v>69</v>
      </c>
      <c r="AA104" s="10" t="s">
        <v>72</v>
      </c>
      <c r="AB104" s="10" t="s">
        <v>70</v>
      </c>
      <c r="AC104" s="10" t="s">
        <v>94</v>
      </c>
      <c r="AD104" s="10" t="s">
        <v>95</v>
      </c>
      <c r="AE104" s="10" t="s">
        <v>62</v>
      </c>
      <c r="AF104" s="10" t="s">
        <v>77</v>
      </c>
      <c r="AG104" s="10" t="s">
        <v>149</v>
      </c>
      <c r="AH104" s="10" t="s">
        <v>163</v>
      </c>
    </row>
    <row r="105" customFormat="false" ht="68.65" hidden="false" customHeight="false" outlineLevel="0" collapsed="false">
      <c r="A105" s="10" t="s">
        <v>1033</v>
      </c>
      <c r="B105" s="10" t="s">
        <v>1034</v>
      </c>
      <c r="C105" s="10" t="s">
        <v>82</v>
      </c>
      <c r="D105" s="10" t="s">
        <v>1035</v>
      </c>
      <c r="E105" s="10" t="s">
        <v>101</v>
      </c>
      <c r="F105" s="10" t="s">
        <v>1036</v>
      </c>
      <c r="G105" s="10" t="s">
        <v>76</v>
      </c>
      <c r="H105" s="10" t="n">
        <v>2</v>
      </c>
      <c r="I105" s="10" t="s">
        <v>1037</v>
      </c>
      <c r="J105" s="10" t="n">
        <v>2</v>
      </c>
      <c r="K105" s="10" t="s">
        <v>248</v>
      </c>
      <c r="L105" s="10" t="n">
        <v>2</v>
      </c>
      <c r="M105" s="10" t="n">
        <v>0</v>
      </c>
      <c r="N105" s="10" t="n">
        <v>2</v>
      </c>
      <c r="O105" s="10" t="n">
        <v>1</v>
      </c>
      <c r="P105" s="10" t="s">
        <v>87</v>
      </c>
      <c r="Q105" s="10" t="s">
        <v>389</v>
      </c>
      <c r="R105" s="10" t="s">
        <v>105</v>
      </c>
      <c r="S105" s="10" t="s">
        <v>390</v>
      </c>
      <c r="T105" s="10" t="s">
        <v>121</v>
      </c>
      <c r="U105" s="10" t="n">
        <v>0</v>
      </c>
      <c r="V105" s="10" t="s">
        <v>70</v>
      </c>
      <c r="W105" s="10" t="s">
        <v>69</v>
      </c>
      <c r="X105" s="10" t="n">
        <v>0</v>
      </c>
      <c r="Y105" s="10" t="s">
        <v>69</v>
      </c>
      <c r="Z105" s="10" t="s">
        <v>69</v>
      </c>
      <c r="AA105" s="10" t="s">
        <v>110</v>
      </c>
      <c r="AB105" s="10" t="s">
        <v>72</v>
      </c>
      <c r="AC105" s="10" t="s">
        <v>74</v>
      </c>
      <c r="AD105" s="10" t="s">
        <v>302</v>
      </c>
      <c r="AE105" s="10" t="s">
        <v>76</v>
      </c>
      <c r="AF105" s="10" t="s">
        <v>382</v>
      </c>
      <c r="AG105" s="10" t="s">
        <v>113</v>
      </c>
      <c r="AH105" s="10" t="s">
        <v>1038</v>
      </c>
    </row>
    <row r="106" customFormat="false" ht="46.25" hidden="false" customHeight="false" outlineLevel="0" collapsed="false">
      <c r="A106" s="10" t="s">
        <v>1039</v>
      </c>
      <c r="B106" s="10" t="s">
        <v>852</v>
      </c>
      <c r="C106" s="10" t="s">
        <v>153</v>
      </c>
      <c r="D106" s="10" t="s">
        <v>1040</v>
      </c>
      <c r="E106" s="10" t="s">
        <v>60</v>
      </c>
      <c r="F106" s="10" t="s">
        <v>61</v>
      </c>
      <c r="G106" s="10" t="s">
        <v>62</v>
      </c>
      <c r="H106" s="10" t="n">
        <v>3</v>
      </c>
      <c r="I106" s="10" t="s">
        <v>1041</v>
      </c>
      <c r="J106" s="10" t="n">
        <v>3</v>
      </c>
      <c r="K106" s="10" t="s">
        <v>463</v>
      </c>
      <c r="L106" s="10" t="n">
        <v>2</v>
      </c>
      <c r="M106" s="10" t="n">
        <v>1</v>
      </c>
      <c r="N106" s="10" t="n">
        <v>3</v>
      </c>
      <c r="O106" s="10" t="n">
        <v>1</v>
      </c>
      <c r="P106" s="10" t="s">
        <v>65</v>
      </c>
      <c r="Q106" s="10" t="s">
        <v>169</v>
      </c>
      <c r="R106" s="10" t="s">
        <v>105</v>
      </c>
      <c r="S106" s="10" t="s">
        <v>170</v>
      </c>
      <c r="T106" s="10" t="s">
        <v>121</v>
      </c>
      <c r="U106" s="10" t="n">
        <v>2</v>
      </c>
      <c r="V106" s="10" t="s">
        <v>1042</v>
      </c>
      <c r="W106" s="10" t="s">
        <v>346</v>
      </c>
      <c r="X106" s="10" t="n">
        <v>1</v>
      </c>
      <c r="Y106" s="10" t="s">
        <v>1043</v>
      </c>
      <c r="Z106" s="10" t="s">
        <v>1044</v>
      </c>
      <c r="AA106" s="10" t="s">
        <v>110</v>
      </c>
      <c r="AB106" s="10" t="s">
        <v>72</v>
      </c>
      <c r="AC106" s="10" t="s">
        <v>74</v>
      </c>
      <c r="AD106" s="10" t="s">
        <v>532</v>
      </c>
      <c r="AE106" s="10" t="s">
        <v>112</v>
      </c>
      <c r="AF106" s="10" t="s">
        <v>77</v>
      </c>
      <c r="AG106" s="10" t="s">
        <v>126</v>
      </c>
      <c r="AH106" s="10" t="s">
        <v>533</v>
      </c>
    </row>
    <row r="107" customFormat="false" ht="57.45" hidden="false" customHeight="false" outlineLevel="0" collapsed="false">
      <c r="A107" s="10" t="s">
        <v>1045</v>
      </c>
      <c r="B107" s="10" t="s">
        <v>1046</v>
      </c>
      <c r="C107" s="10" t="s">
        <v>185</v>
      </c>
      <c r="D107" s="10" t="s">
        <v>1047</v>
      </c>
      <c r="E107" s="10" t="s">
        <v>101</v>
      </c>
      <c r="F107" s="10" t="s">
        <v>61</v>
      </c>
      <c r="G107" s="10" t="s">
        <v>62</v>
      </c>
      <c r="H107" s="10" t="n">
        <v>0</v>
      </c>
      <c r="I107" s="10" t="s">
        <v>140</v>
      </c>
      <c r="J107" s="10" t="n">
        <v>2</v>
      </c>
      <c r="K107" s="10" t="s">
        <v>733</v>
      </c>
      <c r="L107" s="10" t="n">
        <v>1</v>
      </c>
      <c r="M107" s="10" t="n">
        <v>0</v>
      </c>
      <c r="N107" s="10" t="n">
        <v>0</v>
      </c>
      <c r="O107" s="10" t="n">
        <v>1</v>
      </c>
      <c r="P107" s="10" t="s">
        <v>87</v>
      </c>
      <c r="Q107" s="10" t="s">
        <v>104</v>
      </c>
      <c r="R107" s="10" t="s">
        <v>105</v>
      </c>
      <c r="S107" s="10" t="s">
        <v>106</v>
      </c>
      <c r="T107" s="10" t="s">
        <v>1048</v>
      </c>
      <c r="U107" s="10" t="n">
        <v>0</v>
      </c>
      <c r="V107" s="10" t="s">
        <v>70</v>
      </c>
      <c r="W107" s="10" t="s">
        <v>346</v>
      </c>
      <c r="X107" s="10" t="n">
        <v>1</v>
      </c>
      <c r="Y107" s="10" t="s">
        <v>1049</v>
      </c>
      <c r="Z107" s="10" t="s">
        <v>69</v>
      </c>
      <c r="AA107" s="10" t="s">
        <v>72</v>
      </c>
      <c r="AB107" s="10" t="s">
        <v>70</v>
      </c>
      <c r="AC107" s="10" t="s">
        <v>94</v>
      </c>
      <c r="AD107" s="10" t="s">
        <v>95</v>
      </c>
      <c r="AE107" s="10" t="s">
        <v>62</v>
      </c>
      <c r="AF107" s="10" t="s">
        <v>77</v>
      </c>
      <c r="AG107" s="10" t="s">
        <v>726</v>
      </c>
      <c r="AH107" s="10" t="s">
        <v>1050</v>
      </c>
    </row>
    <row r="108" customFormat="false" ht="46.25" hidden="false" customHeight="false" outlineLevel="0" collapsed="false">
      <c r="A108" s="10" t="s">
        <v>1051</v>
      </c>
      <c r="B108" s="10" t="s">
        <v>1052</v>
      </c>
      <c r="C108" s="10" t="s">
        <v>166</v>
      </c>
      <c r="D108" s="10" t="s">
        <v>1053</v>
      </c>
      <c r="E108" s="10" t="s">
        <v>101</v>
      </c>
      <c r="F108" s="10" t="s">
        <v>84</v>
      </c>
      <c r="G108" s="10" t="s">
        <v>76</v>
      </c>
      <c r="H108" s="10" t="n">
        <v>2</v>
      </c>
      <c r="I108" s="10" t="s">
        <v>1054</v>
      </c>
      <c r="J108" s="10" t="n">
        <v>2</v>
      </c>
      <c r="K108" s="10" t="s">
        <v>1055</v>
      </c>
      <c r="L108" s="10" t="n">
        <v>2</v>
      </c>
      <c r="M108" s="10" t="n">
        <v>0</v>
      </c>
      <c r="N108" s="10" t="n">
        <v>2</v>
      </c>
      <c r="O108" s="10" t="n">
        <v>1</v>
      </c>
      <c r="P108" s="10" t="s">
        <v>87</v>
      </c>
      <c r="Q108" s="10" t="s">
        <v>389</v>
      </c>
      <c r="R108" s="10" t="s">
        <v>105</v>
      </c>
      <c r="S108" s="10" t="s">
        <v>390</v>
      </c>
      <c r="T108" s="10" t="s">
        <v>121</v>
      </c>
      <c r="U108" s="10" t="n">
        <v>0</v>
      </c>
      <c r="V108" s="10" t="s">
        <v>70</v>
      </c>
      <c r="W108" s="10" t="s">
        <v>346</v>
      </c>
      <c r="X108" s="10" t="n">
        <v>0</v>
      </c>
      <c r="Y108" s="10" t="s">
        <v>69</v>
      </c>
      <c r="Z108" s="10" t="s">
        <v>69</v>
      </c>
      <c r="AA108" s="10" t="s">
        <v>72</v>
      </c>
      <c r="AB108" s="10" t="s">
        <v>73</v>
      </c>
      <c r="AC108" s="10" t="s">
        <v>74</v>
      </c>
      <c r="AD108" s="10" t="s">
        <v>75</v>
      </c>
      <c r="AE108" s="10" t="s">
        <v>76</v>
      </c>
      <c r="AF108" s="10" t="s">
        <v>77</v>
      </c>
      <c r="AG108" s="10" t="s">
        <v>126</v>
      </c>
      <c r="AH108" s="10" t="s">
        <v>1056</v>
      </c>
    </row>
    <row r="109" customFormat="false" ht="46.25" hidden="false" customHeight="false" outlineLevel="0" collapsed="false">
      <c r="A109" s="10" t="s">
        <v>1057</v>
      </c>
      <c r="B109" s="10" t="s">
        <v>1058</v>
      </c>
      <c r="C109" s="10" t="s">
        <v>166</v>
      </c>
      <c r="D109" s="10" t="s">
        <v>1059</v>
      </c>
      <c r="E109" s="10" t="s">
        <v>101</v>
      </c>
      <c r="F109" s="10" t="s">
        <v>1060</v>
      </c>
      <c r="G109" s="10" t="s">
        <v>76</v>
      </c>
      <c r="H109" s="10" t="n">
        <v>3</v>
      </c>
      <c r="I109" s="10" t="s">
        <v>1061</v>
      </c>
      <c r="J109" s="10" t="n">
        <v>3</v>
      </c>
      <c r="K109" s="10" t="s">
        <v>368</v>
      </c>
      <c r="L109" s="10" t="n">
        <v>1</v>
      </c>
      <c r="M109" s="10" t="n">
        <v>0</v>
      </c>
      <c r="N109" s="10" t="n">
        <v>0</v>
      </c>
      <c r="O109" s="10" t="n">
        <v>1</v>
      </c>
      <c r="P109" s="10" t="s">
        <v>87</v>
      </c>
      <c r="Q109" s="10" t="s">
        <v>266</v>
      </c>
      <c r="R109" s="10" t="s">
        <v>105</v>
      </c>
      <c r="S109" s="10" t="s">
        <v>1060</v>
      </c>
      <c r="T109" s="10" t="s">
        <v>1062</v>
      </c>
      <c r="U109" s="10" t="n">
        <v>0</v>
      </c>
      <c r="V109" s="10" t="s">
        <v>70</v>
      </c>
      <c r="W109" s="10" t="s">
        <v>69</v>
      </c>
      <c r="X109" s="10" t="n">
        <v>0</v>
      </c>
      <c r="Y109" s="10" t="s">
        <v>69</v>
      </c>
      <c r="Z109" s="10" t="s">
        <v>69</v>
      </c>
      <c r="AA109" s="10" t="s">
        <v>72</v>
      </c>
      <c r="AB109" s="10" t="s">
        <v>110</v>
      </c>
      <c r="AC109" s="10" t="s">
        <v>74</v>
      </c>
      <c r="AD109" s="10" t="s">
        <v>778</v>
      </c>
      <c r="AE109" s="10" t="s">
        <v>76</v>
      </c>
      <c r="AF109" s="10" t="s">
        <v>77</v>
      </c>
      <c r="AG109" s="10" t="s">
        <v>162</v>
      </c>
      <c r="AH109" s="10" t="s">
        <v>1063</v>
      </c>
    </row>
    <row r="110" customFormat="false" ht="79.85" hidden="false" customHeight="false" outlineLevel="0" collapsed="false">
      <c r="A110" s="10" t="s">
        <v>1064</v>
      </c>
      <c r="B110" s="10" t="s">
        <v>1065</v>
      </c>
      <c r="C110" s="10" t="s">
        <v>153</v>
      </c>
      <c r="D110" s="10" t="s">
        <v>1066</v>
      </c>
      <c r="E110" s="10" t="s">
        <v>60</v>
      </c>
      <c r="F110" s="10" t="s">
        <v>84</v>
      </c>
      <c r="G110" s="10" t="s">
        <v>62</v>
      </c>
      <c r="H110" s="10" t="n">
        <v>2</v>
      </c>
      <c r="I110" s="10" t="s">
        <v>388</v>
      </c>
      <c r="J110" s="10" t="n">
        <v>3</v>
      </c>
      <c r="K110" s="10" t="s">
        <v>168</v>
      </c>
      <c r="L110" s="10" t="n">
        <v>3</v>
      </c>
      <c r="M110" s="10" t="n">
        <v>2</v>
      </c>
      <c r="N110" s="10" t="n">
        <v>3</v>
      </c>
      <c r="O110" s="10" t="n">
        <v>3</v>
      </c>
      <c r="P110" s="10" t="s">
        <v>239</v>
      </c>
      <c r="Q110" s="10" t="s">
        <v>143</v>
      </c>
      <c r="R110" s="10" t="s">
        <v>89</v>
      </c>
      <c r="S110" s="10" t="s">
        <v>370</v>
      </c>
      <c r="T110" s="10" t="s">
        <v>91</v>
      </c>
      <c r="U110" s="10" t="n">
        <v>2</v>
      </c>
      <c r="V110" s="10" t="s">
        <v>92</v>
      </c>
      <c r="W110" s="10" t="s">
        <v>171</v>
      </c>
      <c r="X110" s="10" t="n">
        <v>2</v>
      </c>
      <c r="Y110" s="10" t="s">
        <v>1067</v>
      </c>
      <c r="Z110" s="10" t="s">
        <v>1068</v>
      </c>
      <c r="AA110" s="10" t="s">
        <v>73</v>
      </c>
      <c r="AB110" s="10" t="s">
        <v>72</v>
      </c>
      <c r="AC110" s="10" t="s">
        <v>74</v>
      </c>
      <c r="AD110" s="10" t="s">
        <v>174</v>
      </c>
      <c r="AE110" s="10" t="s">
        <v>112</v>
      </c>
      <c r="AF110" s="10" t="s">
        <v>427</v>
      </c>
      <c r="AG110" s="10" t="s">
        <v>126</v>
      </c>
      <c r="AH110" s="10" t="s">
        <v>1069</v>
      </c>
    </row>
    <row r="111" customFormat="false" ht="57.45" hidden="false" customHeight="false" outlineLevel="0" collapsed="false">
      <c r="A111" s="10" t="s">
        <v>1070</v>
      </c>
      <c r="B111" s="10" t="s">
        <v>1071</v>
      </c>
      <c r="C111" s="10" t="s">
        <v>555</v>
      </c>
      <c r="D111" s="10" t="s">
        <v>1072</v>
      </c>
      <c r="E111" s="10" t="s">
        <v>101</v>
      </c>
      <c r="F111" s="10" t="s">
        <v>1073</v>
      </c>
      <c r="G111" s="10" t="s">
        <v>112</v>
      </c>
      <c r="H111" s="10" t="n">
        <v>2</v>
      </c>
      <c r="I111" s="10" t="s">
        <v>1074</v>
      </c>
      <c r="J111" s="10" t="n">
        <v>2</v>
      </c>
      <c r="K111" s="10" t="s">
        <v>1075</v>
      </c>
      <c r="L111" s="10" t="n">
        <v>1</v>
      </c>
      <c r="M111" s="10" t="n">
        <v>0</v>
      </c>
      <c r="N111" s="10" t="n">
        <v>0</v>
      </c>
      <c r="O111" s="10" t="n">
        <v>1</v>
      </c>
      <c r="P111" s="10" t="s">
        <v>87</v>
      </c>
      <c r="Q111" s="10" t="s">
        <v>104</v>
      </c>
      <c r="R111" s="10" t="s">
        <v>105</v>
      </c>
      <c r="S111" s="10" t="s">
        <v>106</v>
      </c>
      <c r="T111" s="10" t="s">
        <v>121</v>
      </c>
      <c r="U111" s="10" t="n">
        <v>0</v>
      </c>
      <c r="V111" s="10" t="s">
        <v>70</v>
      </c>
      <c r="W111" s="10" t="s">
        <v>69</v>
      </c>
      <c r="X111" s="10" t="n">
        <v>2</v>
      </c>
      <c r="Y111" s="10" t="s">
        <v>1076</v>
      </c>
      <c r="Z111" s="10" t="s">
        <v>1077</v>
      </c>
      <c r="AA111" s="10" t="s">
        <v>110</v>
      </c>
      <c r="AB111" s="10" t="s">
        <v>72</v>
      </c>
      <c r="AC111" s="10" t="s">
        <v>74</v>
      </c>
      <c r="AD111" s="10" t="s">
        <v>251</v>
      </c>
      <c r="AE111" s="10" t="s">
        <v>112</v>
      </c>
      <c r="AF111" s="10" t="s">
        <v>77</v>
      </c>
      <c r="AG111" s="10" t="s">
        <v>726</v>
      </c>
      <c r="AH111" s="10" t="s">
        <v>428</v>
      </c>
    </row>
    <row r="112" customFormat="false" ht="258.95" hidden="false" customHeight="false" outlineLevel="0" collapsed="false">
      <c r="A112" s="10" t="s">
        <v>1078</v>
      </c>
      <c r="B112" s="10" t="s">
        <v>1079</v>
      </c>
      <c r="C112" s="10" t="s">
        <v>82</v>
      </c>
      <c r="D112" s="10" t="s">
        <v>1080</v>
      </c>
      <c r="E112" s="10" t="s">
        <v>101</v>
      </c>
      <c r="F112" s="10" t="s">
        <v>61</v>
      </c>
      <c r="G112" s="10" t="s">
        <v>76</v>
      </c>
      <c r="H112" s="10" t="n">
        <v>0</v>
      </c>
      <c r="I112" s="10" t="s">
        <v>140</v>
      </c>
      <c r="J112" s="10" t="n">
        <v>1</v>
      </c>
      <c r="K112" s="10" t="s">
        <v>1081</v>
      </c>
      <c r="L112" s="10" t="n">
        <v>0</v>
      </c>
      <c r="M112" s="10" t="n">
        <v>0</v>
      </c>
      <c r="N112" s="10" t="n">
        <v>0</v>
      </c>
      <c r="O112" s="10" t="n">
        <v>0</v>
      </c>
      <c r="P112" s="10" t="s">
        <v>87</v>
      </c>
      <c r="Q112" s="10" t="s">
        <v>69</v>
      </c>
      <c r="R112" s="10" t="s">
        <v>87</v>
      </c>
      <c r="S112" s="10" t="s">
        <v>69</v>
      </c>
      <c r="T112" s="10" t="s">
        <v>69</v>
      </c>
      <c r="U112" s="10" t="n">
        <v>0</v>
      </c>
      <c r="V112" s="10" t="s">
        <v>70</v>
      </c>
      <c r="W112" s="10" t="s">
        <v>69</v>
      </c>
      <c r="X112" s="10" t="n">
        <v>1</v>
      </c>
      <c r="Y112" s="10" t="s">
        <v>1082</v>
      </c>
      <c r="Z112" s="10" t="s">
        <v>69</v>
      </c>
      <c r="AA112" s="10" t="s">
        <v>72</v>
      </c>
      <c r="AB112" s="10" t="s">
        <v>70</v>
      </c>
      <c r="AC112" s="10" t="s">
        <v>94</v>
      </c>
      <c r="AD112" s="10" t="s">
        <v>95</v>
      </c>
      <c r="AE112" s="10" t="s">
        <v>62</v>
      </c>
      <c r="AF112" s="10" t="s">
        <v>77</v>
      </c>
      <c r="AG112" s="10" t="s">
        <v>113</v>
      </c>
      <c r="AH112" s="10" t="s">
        <v>1083</v>
      </c>
    </row>
    <row r="113" customFormat="false" ht="57.45" hidden="false" customHeight="false" outlineLevel="0" collapsed="false">
      <c r="A113" s="10" t="s">
        <v>1084</v>
      </c>
      <c r="B113" s="10" t="s">
        <v>1085</v>
      </c>
      <c r="C113" s="10" t="s">
        <v>364</v>
      </c>
      <c r="D113" s="10" t="s">
        <v>1086</v>
      </c>
      <c r="E113" s="10" t="s">
        <v>101</v>
      </c>
      <c r="F113" s="10" t="s">
        <v>1087</v>
      </c>
      <c r="G113" s="10" t="s">
        <v>62</v>
      </c>
      <c r="H113" s="10" t="n">
        <v>2</v>
      </c>
      <c r="I113" s="10" t="s">
        <v>1088</v>
      </c>
      <c r="J113" s="10" t="n">
        <v>2</v>
      </c>
      <c r="K113" s="10" t="s">
        <v>423</v>
      </c>
      <c r="L113" s="10" t="n">
        <v>1</v>
      </c>
      <c r="M113" s="10" t="n">
        <v>0</v>
      </c>
      <c r="N113" s="10" t="n">
        <v>0</v>
      </c>
      <c r="O113" s="10" t="n">
        <v>1</v>
      </c>
      <c r="P113" s="10" t="s">
        <v>87</v>
      </c>
      <c r="Q113" s="10" t="s">
        <v>104</v>
      </c>
      <c r="R113" s="10" t="s">
        <v>105</v>
      </c>
      <c r="S113" s="10" t="s">
        <v>106</v>
      </c>
      <c r="T113" s="10" t="s">
        <v>121</v>
      </c>
      <c r="U113" s="10" t="n">
        <v>0</v>
      </c>
      <c r="V113" s="10" t="s">
        <v>70</v>
      </c>
      <c r="W113" s="10" t="s">
        <v>69</v>
      </c>
      <c r="X113" s="10" t="n">
        <v>2</v>
      </c>
      <c r="Y113" s="10" t="s">
        <v>1089</v>
      </c>
      <c r="Z113" s="10" t="s">
        <v>1090</v>
      </c>
      <c r="AA113" s="10" t="s">
        <v>110</v>
      </c>
      <c r="AB113" s="10" t="s">
        <v>72</v>
      </c>
      <c r="AC113" s="10" t="s">
        <v>74</v>
      </c>
      <c r="AD113" s="10" t="s">
        <v>251</v>
      </c>
      <c r="AE113" s="10" t="s">
        <v>112</v>
      </c>
      <c r="AF113" s="10" t="s">
        <v>77</v>
      </c>
      <c r="AG113" s="10" t="s">
        <v>126</v>
      </c>
      <c r="AH113" s="10" t="s">
        <v>428</v>
      </c>
    </row>
    <row r="114" customFormat="false" ht="46.25" hidden="false" customHeight="false" outlineLevel="0" collapsed="false">
      <c r="A114" s="10" t="s">
        <v>1091</v>
      </c>
      <c r="B114" s="10" t="s">
        <v>846</v>
      </c>
      <c r="C114" s="10" t="s">
        <v>281</v>
      </c>
      <c r="D114" s="10" t="s">
        <v>1092</v>
      </c>
      <c r="E114" s="10" t="s">
        <v>101</v>
      </c>
      <c r="F114" s="10" t="s">
        <v>61</v>
      </c>
      <c r="G114" s="10" t="s">
        <v>112</v>
      </c>
      <c r="H114" s="10" t="n">
        <v>2</v>
      </c>
      <c r="I114" s="10" t="s">
        <v>1093</v>
      </c>
      <c r="J114" s="10" t="n">
        <v>2</v>
      </c>
      <c r="K114" s="10" t="s">
        <v>1094</v>
      </c>
      <c r="L114" s="10" t="n">
        <v>1</v>
      </c>
      <c r="M114" s="10" t="n">
        <v>0</v>
      </c>
      <c r="N114" s="10" t="n">
        <v>0</v>
      </c>
      <c r="O114" s="10" t="n">
        <v>1</v>
      </c>
      <c r="P114" s="10" t="s">
        <v>87</v>
      </c>
      <c r="Q114" s="10" t="s">
        <v>230</v>
      </c>
      <c r="R114" s="10" t="s">
        <v>67</v>
      </c>
      <c r="S114" s="10" t="s">
        <v>1095</v>
      </c>
      <c r="T114" s="10" t="s">
        <v>1096</v>
      </c>
      <c r="U114" s="10" t="n">
        <v>0</v>
      </c>
      <c r="V114" s="10" t="s">
        <v>70</v>
      </c>
      <c r="W114" s="10" t="s">
        <v>69</v>
      </c>
      <c r="X114" s="10" t="n">
        <v>2</v>
      </c>
      <c r="Y114" s="10" t="s">
        <v>1097</v>
      </c>
      <c r="Z114" s="10" t="s">
        <v>1098</v>
      </c>
      <c r="AA114" s="10" t="s">
        <v>110</v>
      </c>
      <c r="AB114" s="10" t="s">
        <v>72</v>
      </c>
      <c r="AC114" s="10" t="s">
        <v>74</v>
      </c>
      <c r="AD114" s="10" t="s">
        <v>251</v>
      </c>
      <c r="AE114" s="10" t="s">
        <v>112</v>
      </c>
      <c r="AF114" s="10" t="s">
        <v>77</v>
      </c>
      <c r="AG114" s="10" t="s">
        <v>149</v>
      </c>
      <c r="AH114" s="10" t="s">
        <v>428</v>
      </c>
    </row>
    <row r="115" customFormat="false" ht="393.25" hidden="false" customHeight="false" outlineLevel="0" collapsed="false">
      <c r="A115" s="10" t="s">
        <v>1099</v>
      </c>
      <c r="B115" s="10" t="s">
        <v>1100</v>
      </c>
      <c r="C115" s="10" t="s">
        <v>692</v>
      </c>
      <c r="D115" s="10" t="s">
        <v>1101</v>
      </c>
      <c r="E115" s="10" t="s">
        <v>60</v>
      </c>
      <c r="F115" s="10" t="s">
        <v>1102</v>
      </c>
      <c r="G115" s="10" t="s">
        <v>62</v>
      </c>
      <c r="H115" s="10" t="n">
        <v>3</v>
      </c>
      <c r="I115" s="10" t="s">
        <v>1103</v>
      </c>
      <c r="J115" s="10" t="n">
        <v>2</v>
      </c>
      <c r="K115" s="10" t="s">
        <v>1104</v>
      </c>
      <c r="L115" s="10" t="n">
        <v>1</v>
      </c>
      <c r="M115" s="10" t="n">
        <v>1</v>
      </c>
      <c r="N115" s="10" t="n">
        <v>0</v>
      </c>
      <c r="O115" s="10" t="n">
        <v>1</v>
      </c>
      <c r="P115" s="10" t="s">
        <v>65</v>
      </c>
      <c r="Q115" s="10" t="s">
        <v>69</v>
      </c>
      <c r="R115" s="10" t="s">
        <v>105</v>
      </c>
      <c r="S115" s="10" t="s">
        <v>69</v>
      </c>
      <c r="T115" s="10" t="s">
        <v>121</v>
      </c>
      <c r="U115" s="10" t="n">
        <v>0</v>
      </c>
      <c r="V115" s="10" t="s">
        <v>70</v>
      </c>
      <c r="W115" s="10" t="s">
        <v>69</v>
      </c>
      <c r="X115" s="10" t="n">
        <v>2</v>
      </c>
      <c r="Y115" s="10" t="s">
        <v>1105</v>
      </c>
      <c r="Z115" s="10" t="s">
        <v>1106</v>
      </c>
      <c r="AA115" s="10" t="s">
        <v>110</v>
      </c>
      <c r="AB115" s="10" t="s">
        <v>72</v>
      </c>
      <c r="AC115" s="10" t="s">
        <v>94</v>
      </c>
      <c r="AD115" s="10" t="s">
        <v>95</v>
      </c>
      <c r="AE115" s="10" t="s">
        <v>62</v>
      </c>
      <c r="AF115" s="10" t="s">
        <v>77</v>
      </c>
      <c r="AG115" s="10" t="s">
        <v>78</v>
      </c>
      <c r="AH115" s="10" t="s">
        <v>192</v>
      </c>
    </row>
    <row r="116" customFormat="false" ht="57.45" hidden="false" customHeight="false" outlineLevel="0" collapsed="false">
      <c r="A116" s="10" t="s">
        <v>1107</v>
      </c>
      <c r="B116" s="10" t="s">
        <v>1108</v>
      </c>
      <c r="C116" s="10" t="s">
        <v>153</v>
      </c>
      <c r="D116" s="10" t="s">
        <v>1109</v>
      </c>
      <c r="E116" s="10" t="s">
        <v>432</v>
      </c>
      <c r="F116" s="10" t="s">
        <v>84</v>
      </c>
      <c r="G116" s="10" t="s">
        <v>62</v>
      </c>
      <c r="H116" s="10" t="n">
        <v>1</v>
      </c>
      <c r="I116" s="10" t="s">
        <v>85</v>
      </c>
      <c r="J116" s="10" t="n">
        <v>0</v>
      </c>
      <c r="K116" s="10" t="s">
        <v>275</v>
      </c>
      <c r="L116" s="10" t="n">
        <v>0</v>
      </c>
      <c r="M116" s="10" t="n">
        <v>0</v>
      </c>
      <c r="N116" s="10" t="n">
        <v>0</v>
      </c>
      <c r="O116" s="10" t="n">
        <v>0</v>
      </c>
      <c r="P116" s="10" t="s">
        <v>87</v>
      </c>
      <c r="Q116" s="10" t="s">
        <v>69</v>
      </c>
      <c r="R116" s="10" t="s">
        <v>87</v>
      </c>
      <c r="S116" s="10" t="s">
        <v>69</v>
      </c>
      <c r="T116" s="10" t="s">
        <v>69</v>
      </c>
      <c r="U116" s="10" t="n">
        <v>2</v>
      </c>
      <c r="V116" s="10" t="s">
        <v>92</v>
      </c>
      <c r="W116" s="10" t="s">
        <v>171</v>
      </c>
      <c r="X116" s="10" t="n">
        <v>2</v>
      </c>
      <c r="Y116" s="10" t="s">
        <v>1110</v>
      </c>
      <c r="Z116" s="10" t="s">
        <v>1111</v>
      </c>
      <c r="AA116" s="10" t="s">
        <v>110</v>
      </c>
      <c r="AB116" s="10" t="s">
        <v>70</v>
      </c>
      <c r="AC116" s="10" t="s">
        <v>94</v>
      </c>
      <c r="AD116" s="10" t="s">
        <v>95</v>
      </c>
      <c r="AE116" s="10" t="s">
        <v>62</v>
      </c>
      <c r="AF116" s="10" t="s">
        <v>125</v>
      </c>
      <c r="AG116" s="10" t="s">
        <v>126</v>
      </c>
      <c r="AH116" s="10" t="s">
        <v>278</v>
      </c>
    </row>
    <row r="117" customFormat="false" ht="270.1" hidden="false" customHeight="false" outlineLevel="0" collapsed="false">
      <c r="A117" s="10" t="s">
        <v>1112</v>
      </c>
      <c r="B117" s="10" t="s">
        <v>1113</v>
      </c>
      <c r="C117" s="10" t="s">
        <v>321</v>
      </c>
      <c r="D117" s="10" t="s">
        <v>1114</v>
      </c>
      <c r="E117" s="10" t="s">
        <v>60</v>
      </c>
      <c r="F117" s="10" t="s">
        <v>84</v>
      </c>
      <c r="G117" s="10" t="s">
        <v>62</v>
      </c>
      <c r="H117" s="10" t="n">
        <v>2</v>
      </c>
      <c r="I117" s="10" t="s">
        <v>520</v>
      </c>
      <c r="J117" s="10" t="n">
        <v>3</v>
      </c>
      <c r="K117" s="10" t="s">
        <v>822</v>
      </c>
      <c r="L117" s="10" t="n">
        <v>2</v>
      </c>
      <c r="M117" s="10" t="n">
        <v>1</v>
      </c>
      <c r="N117" s="10" t="n">
        <v>3</v>
      </c>
      <c r="O117" s="10" t="n">
        <v>1</v>
      </c>
      <c r="P117" s="10" t="s">
        <v>65</v>
      </c>
      <c r="Q117" s="10" t="s">
        <v>143</v>
      </c>
      <c r="R117" s="10" t="s">
        <v>105</v>
      </c>
      <c r="S117" s="10" t="s">
        <v>370</v>
      </c>
      <c r="T117" s="10" t="s">
        <v>121</v>
      </c>
      <c r="U117" s="10" t="n">
        <v>2</v>
      </c>
      <c r="V117" s="10" t="s">
        <v>1115</v>
      </c>
      <c r="W117" s="10" t="s">
        <v>171</v>
      </c>
      <c r="X117" s="10" t="n">
        <v>1</v>
      </c>
      <c r="Y117" s="10" t="s">
        <v>1116</v>
      </c>
      <c r="Z117" s="10" t="s">
        <v>69</v>
      </c>
      <c r="AA117" s="10" t="s">
        <v>72</v>
      </c>
      <c r="AB117" s="10" t="s">
        <v>73</v>
      </c>
      <c r="AC117" s="10" t="s">
        <v>94</v>
      </c>
      <c r="AD117" s="10" t="s">
        <v>95</v>
      </c>
      <c r="AE117" s="10" t="s">
        <v>62</v>
      </c>
      <c r="AF117" s="10" t="s">
        <v>77</v>
      </c>
      <c r="AG117" s="10" t="s">
        <v>78</v>
      </c>
      <c r="AH117" s="10" t="s">
        <v>328</v>
      </c>
    </row>
    <row r="118" customFormat="false" ht="46.25" hidden="false" customHeight="false" outlineLevel="0" collapsed="false">
      <c r="A118" s="10" t="s">
        <v>1117</v>
      </c>
      <c r="B118" s="10" t="s">
        <v>852</v>
      </c>
      <c r="C118" s="10" t="s">
        <v>281</v>
      </c>
      <c r="D118" s="10" t="s">
        <v>1118</v>
      </c>
      <c r="E118" s="10" t="s">
        <v>60</v>
      </c>
      <c r="F118" s="10" t="s">
        <v>61</v>
      </c>
      <c r="G118" s="10" t="s">
        <v>62</v>
      </c>
      <c r="H118" s="10" t="n">
        <v>0</v>
      </c>
      <c r="I118" s="10" t="s">
        <v>140</v>
      </c>
      <c r="J118" s="10" t="n">
        <v>3</v>
      </c>
      <c r="K118" s="10" t="s">
        <v>463</v>
      </c>
      <c r="L118" s="10" t="n">
        <v>1</v>
      </c>
      <c r="M118" s="10" t="n">
        <v>1</v>
      </c>
      <c r="N118" s="10" t="n">
        <v>0</v>
      </c>
      <c r="O118" s="10" t="n">
        <v>1</v>
      </c>
      <c r="P118" s="10" t="s">
        <v>65</v>
      </c>
      <c r="Q118" s="10" t="s">
        <v>69</v>
      </c>
      <c r="R118" s="10" t="s">
        <v>105</v>
      </c>
      <c r="S118" s="10" t="s">
        <v>69</v>
      </c>
      <c r="T118" s="10" t="s">
        <v>121</v>
      </c>
      <c r="U118" s="10" t="n">
        <v>0</v>
      </c>
      <c r="V118" s="10" t="s">
        <v>70</v>
      </c>
      <c r="W118" s="10" t="s">
        <v>1119</v>
      </c>
      <c r="X118" s="10" t="n">
        <v>2</v>
      </c>
      <c r="Y118" s="10" t="s">
        <v>1120</v>
      </c>
      <c r="Z118" s="10" t="s">
        <v>1121</v>
      </c>
      <c r="AA118" s="10" t="s">
        <v>72</v>
      </c>
      <c r="AB118" s="10" t="s">
        <v>70</v>
      </c>
      <c r="AC118" s="10" t="s">
        <v>94</v>
      </c>
      <c r="AD118" s="10" t="s">
        <v>95</v>
      </c>
      <c r="AE118" s="10" t="s">
        <v>62</v>
      </c>
      <c r="AF118" s="10" t="s">
        <v>77</v>
      </c>
      <c r="AG118" s="10" t="s">
        <v>126</v>
      </c>
      <c r="AH118" s="10" t="s">
        <v>1122</v>
      </c>
    </row>
    <row r="119" customFormat="false" ht="46.25" hidden="false" customHeight="false" outlineLevel="0" collapsed="false">
      <c r="A119" s="10" t="s">
        <v>1123</v>
      </c>
      <c r="B119" s="10" t="s">
        <v>1124</v>
      </c>
      <c r="C119" s="10" t="s">
        <v>130</v>
      </c>
      <c r="D119" s="10" t="s">
        <v>1125</v>
      </c>
      <c r="E119" s="10" t="s">
        <v>60</v>
      </c>
      <c r="F119" s="10" t="s">
        <v>84</v>
      </c>
      <c r="G119" s="10" t="s">
        <v>62</v>
      </c>
      <c r="H119" s="10" t="n">
        <v>2</v>
      </c>
      <c r="I119" s="10" t="s">
        <v>462</v>
      </c>
      <c r="J119" s="10" t="n">
        <v>3</v>
      </c>
      <c r="K119" s="10" t="s">
        <v>463</v>
      </c>
      <c r="L119" s="10" t="n">
        <v>2</v>
      </c>
      <c r="M119" s="10" t="n">
        <v>1</v>
      </c>
      <c r="N119" s="10" t="n">
        <v>2</v>
      </c>
      <c r="O119" s="10" t="n">
        <v>1</v>
      </c>
      <c r="P119" s="10" t="s">
        <v>65</v>
      </c>
      <c r="Q119" s="10" t="s">
        <v>88</v>
      </c>
      <c r="R119" s="10" t="s">
        <v>105</v>
      </c>
      <c r="S119" s="10" t="s">
        <v>1126</v>
      </c>
      <c r="T119" s="10" t="s">
        <v>121</v>
      </c>
      <c r="U119" s="10" t="n">
        <v>0</v>
      </c>
      <c r="V119" s="10" t="s">
        <v>70</v>
      </c>
      <c r="W119" s="10" t="s">
        <v>69</v>
      </c>
      <c r="X119" s="10" t="n">
        <v>1</v>
      </c>
      <c r="Y119" s="10" t="s">
        <v>1127</v>
      </c>
      <c r="Z119" s="10" t="s">
        <v>1128</v>
      </c>
      <c r="AA119" s="10" t="s">
        <v>72</v>
      </c>
      <c r="AB119" s="10" t="s">
        <v>73</v>
      </c>
      <c r="AC119" s="10" t="s">
        <v>94</v>
      </c>
      <c r="AD119" s="10" t="s">
        <v>95</v>
      </c>
      <c r="AE119" s="10" t="s">
        <v>62</v>
      </c>
      <c r="AF119" s="10" t="s">
        <v>382</v>
      </c>
      <c r="AG119" s="10" t="s">
        <v>287</v>
      </c>
      <c r="AH119" s="10" t="s">
        <v>826</v>
      </c>
    </row>
    <row r="120" customFormat="false" ht="57.45" hidden="false" customHeight="false" outlineLevel="0" collapsed="false">
      <c r="A120" s="10" t="s">
        <v>1129</v>
      </c>
      <c r="B120" s="10" t="s">
        <v>1130</v>
      </c>
      <c r="C120" s="10" t="s">
        <v>1131</v>
      </c>
      <c r="D120" s="10" t="s">
        <v>1132</v>
      </c>
      <c r="E120" s="10" t="s">
        <v>101</v>
      </c>
      <c r="F120" s="10" t="s">
        <v>61</v>
      </c>
      <c r="G120" s="10" t="s">
        <v>62</v>
      </c>
      <c r="H120" s="10" t="n">
        <v>1</v>
      </c>
      <c r="I120" s="10" t="s">
        <v>179</v>
      </c>
      <c r="J120" s="10" t="n">
        <v>2</v>
      </c>
      <c r="K120" s="10" t="s">
        <v>1133</v>
      </c>
      <c r="L120" s="10" t="n">
        <v>0</v>
      </c>
      <c r="M120" s="10" t="n">
        <v>0</v>
      </c>
      <c r="N120" s="10" t="n">
        <v>0</v>
      </c>
      <c r="O120" s="10" t="n">
        <v>0</v>
      </c>
      <c r="P120" s="10" t="s">
        <v>87</v>
      </c>
      <c r="Q120" s="10" t="s">
        <v>69</v>
      </c>
      <c r="R120" s="10" t="s">
        <v>87</v>
      </c>
      <c r="S120" s="10" t="s">
        <v>69</v>
      </c>
      <c r="T120" s="10" t="s">
        <v>69</v>
      </c>
      <c r="U120" s="10" t="n">
        <v>0</v>
      </c>
      <c r="V120" s="10" t="s">
        <v>70</v>
      </c>
      <c r="W120" s="10" t="s">
        <v>69</v>
      </c>
      <c r="X120" s="10" t="n">
        <v>2</v>
      </c>
      <c r="Y120" s="10" t="s">
        <v>1134</v>
      </c>
      <c r="Z120" s="10" t="s">
        <v>1135</v>
      </c>
      <c r="AA120" s="10" t="s">
        <v>72</v>
      </c>
      <c r="AB120" s="10" t="s">
        <v>70</v>
      </c>
      <c r="AC120" s="10" t="s">
        <v>94</v>
      </c>
      <c r="AD120" s="10" t="s">
        <v>95</v>
      </c>
      <c r="AE120" s="10" t="s">
        <v>62</v>
      </c>
      <c r="AF120" s="10" t="s">
        <v>77</v>
      </c>
      <c r="AG120" s="10" t="s">
        <v>149</v>
      </c>
      <c r="AH120" s="10" t="s">
        <v>1136</v>
      </c>
    </row>
    <row r="121" customFormat="false" ht="124.6" hidden="false" customHeight="false" outlineLevel="0" collapsed="false">
      <c r="A121" s="10" t="s">
        <v>1137</v>
      </c>
      <c r="B121" s="10" t="s">
        <v>1138</v>
      </c>
      <c r="C121" s="10" t="s">
        <v>364</v>
      </c>
      <c r="D121" s="10" t="s">
        <v>1139</v>
      </c>
      <c r="E121" s="10" t="s">
        <v>432</v>
      </c>
      <c r="F121" s="10" t="s">
        <v>1140</v>
      </c>
      <c r="G121" s="10" t="s">
        <v>112</v>
      </c>
      <c r="H121" s="10" t="n">
        <v>3</v>
      </c>
      <c r="I121" s="10" t="s">
        <v>1141</v>
      </c>
      <c r="J121" s="10" t="n">
        <v>0</v>
      </c>
      <c r="K121" s="10" t="s">
        <v>275</v>
      </c>
      <c r="L121" s="10" t="n">
        <v>0</v>
      </c>
      <c r="M121" s="10" t="n">
        <v>0</v>
      </c>
      <c r="N121" s="10" t="n">
        <v>0</v>
      </c>
      <c r="O121" s="10" t="n">
        <v>0</v>
      </c>
      <c r="P121" s="10" t="s">
        <v>87</v>
      </c>
      <c r="Q121" s="10" t="s">
        <v>69</v>
      </c>
      <c r="R121" s="10" t="s">
        <v>87</v>
      </c>
      <c r="S121" s="10" t="s">
        <v>69</v>
      </c>
      <c r="T121" s="10" t="s">
        <v>69</v>
      </c>
      <c r="U121" s="10" t="n">
        <v>0</v>
      </c>
      <c r="V121" s="10" t="s">
        <v>70</v>
      </c>
      <c r="W121" s="10" t="s">
        <v>69</v>
      </c>
      <c r="X121" s="10" t="n">
        <v>1</v>
      </c>
      <c r="Y121" s="10" t="s">
        <v>1142</v>
      </c>
      <c r="Z121" s="10" t="s">
        <v>69</v>
      </c>
      <c r="AA121" s="10" t="s">
        <v>110</v>
      </c>
      <c r="AB121" s="10" t="s">
        <v>70</v>
      </c>
      <c r="AC121" s="10" t="s">
        <v>94</v>
      </c>
      <c r="AD121" s="10" t="s">
        <v>95</v>
      </c>
      <c r="AE121" s="10" t="s">
        <v>62</v>
      </c>
      <c r="AF121" s="10" t="s">
        <v>77</v>
      </c>
      <c r="AG121" s="10" t="s">
        <v>126</v>
      </c>
      <c r="AH121" s="10" t="s">
        <v>577</v>
      </c>
    </row>
    <row r="122" customFormat="false" ht="57.45" hidden="false" customHeight="false" outlineLevel="0" collapsed="false">
      <c r="A122" s="10" t="s">
        <v>1143</v>
      </c>
      <c r="B122" s="10" t="s">
        <v>1144</v>
      </c>
      <c r="C122" s="10" t="s">
        <v>166</v>
      </c>
      <c r="D122" s="10" t="s">
        <v>1145</v>
      </c>
      <c r="E122" s="10" t="s">
        <v>101</v>
      </c>
      <c r="F122" s="10" t="s">
        <v>61</v>
      </c>
      <c r="G122" s="10" t="s">
        <v>112</v>
      </c>
      <c r="H122" s="10" t="n">
        <v>2</v>
      </c>
      <c r="I122" s="10" t="s">
        <v>1146</v>
      </c>
      <c r="J122" s="10" t="n">
        <v>2</v>
      </c>
      <c r="K122" s="10" t="s">
        <v>1147</v>
      </c>
      <c r="L122" s="10" t="n">
        <v>1</v>
      </c>
      <c r="M122" s="10" t="n">
        <v>0</v>
      </c>
      <c r="N122" s="10" t="n">
        <v>1</v>
      </c>
      <c r="O122" s="10" t="n">
        <v>1</v>
      </c>
      <c r="P122" s="10" t="s">
        <v>87</v>
      </c>
      <c r="Q122" s="10" t="s">
        <v>1148</v>
      </c>
      <c r="R122" s="10" t="s">
        <v>105</v>
      </c>
      <c r="S122" s="10" t="s">
        <v>1149</v>
      </c>
      <c r="T122" s="10" t="s">
        <v>121</v>
      </c>
      <c r="U122" s="10" t="n">
        <v>0</v>
      </c>
      <c r="V122" s="10" t="s">
        <v>70</v>
      </c>
      <c r="W122" s="10" t="s">
        <v>69</v>
      </c>
      <c r="X122" s="10" t="n">
        <v>2</v>
      </c>
      <c r="Y122" s="10" t="s">
        <v>1150</v>
      </c>
      <c r="Z122" s="10" t="s">
        <v>1151</v>
      </c>
      <c r="AA122" s="10" t="s">
        <v>110</v>
      </c>
      <c r="AB122" s="10" t="s">
        <v>72</v>
      </c>
      <c r="AC122" s="10" t="s">
        <v>74</v>
      </c>
      <c r="AD122" s="10" t="s">
        <v>251</v>
      </c>
      <c r="AE122" s="10" t="s">
        <v>112</v>
      </c>
      <c r="AF122" s="10" t="s">
        <v>77</v>
      </c>
      <c r="AG122" s="10" t="s">
        <v>126</v>
      </c>
      <c r="AH122" s="10" t="s">
        <v>834</v>
      </c>
    </row>
    <row r="123" customFormat="false" ht="46.25" hidden="false" customHeight="false" outlineLevel="0" collapsed="false">
      <c r="A123" s="10" t="s">
        <v>1152</v>
      </c>
      <c r="B123" s="10" t="s">
        <v>1153</v>
      </c>
      <c r="C123" s="10" t="s">
        <v>130</v>
      </c>
      <c r="D123" s="10" t="s">
        <v>1154</v>
      </c>
      <c r="E123" s="10" t="s">
        <v>101</v>
      </c>
      <c r="F123" s="10" t="s">
        <v>1155</v>
      </c>
      <c r="G123" s="10" t="s">
        <v>76</v>
      </c>
      <c r="H123" s="10" t="n">
        <v>2</v>
      </c>
      <c r="I123" s="10" t="s">
        <v>1156</v>
      </c>
      <c r="J123" s="10" t="n">
        <v>0</v>
      </c>
      <c r="K123" s="10" t="s">
        <v>1157</v>
      </c>
      <c r="L123" s="10" t="n">
        <v>1</v>
      </c>
      <c r="M123" s="10" t="n">
        <v>0</v>
      </c>
      <c r="N123" s="10" t="n">
        <v>0</v>
      </c>
      <c r="O123" s="10" t="n">
        <v>0</v>
      </c>
      <c r="P123" s="10" t="s">
        <v>87</v>
      </c>
      <c r="Q123" s="10" t="s">
        <v>104</v>
      </c>
      <c r="R123" s="10" t="s">
        <v>87</v>
      </c>
      <c r="S123" s="10" t="s">
        <v>106</v>
      </c>
      <c r="T123" s="10" t="s">
        <v>69</v>
      </c>
      <c r="U123" s="10" t="n">
        <v>0</v>
      </c>
      <c r="V123" s="10" t="s">
        <v>70</v>
      </c>
      <c r="W123" s="10" t="s">
        <v>69</v>
      </c>
      <c r="X123" s="10" t="n">
        <v>1</v>
      </c>
      <c r="Y123" s="10" t="s">
        <v>1158</v>
      </c>
      <c r="Z123" s="10" t="s">
        <v>69</v>
      </c>
      <c r="AA123" s="10" t="s">
        <v>110</v>
      </c>
      <c r="AB123" s="10" t="s">
        <v>70</v>
      </c>
      <c r="AC123" s="10" t="s">
        <v>94</v>
      </c>
      <c r="AD123" s="10" t="s">
        <v>95</v>
      </c>
      <c r="AE123" s="10" t="s">
        <v>62</v>
      </c>
      <c r="AF123" s="10" t="s">
        <v>77</v>
      </c>
      <c r="AG123" s="10" t="s">
        <v>1159</v>
      </c>
      <c r="AH123" s="10" t="s">
        <v>1160</v>
      </c>
    </row>
    <row r="124" customFormat="false" ht="35.05" hidden="false" customHeight="false" outlineLevel="0" collapsed="false">
      <c r="A124" s="10" t="s">
        <v>1161</v>
      </c>
      <c r="B124" s="10" t="s">
        <v>1162</v>
      </c>
      <c r="C124" s="10" t="s">
        <v>711</v>
      </c>
      <c r="D124" s="10" t="s">
        <v>1163</v>
      </c>
      <c r="E124" s="10" t="s">
        <v>101</v>
      </c>
      <c r="F124" s="10" t="s">
        <v>1164</v>
      </c>
      <c r="G124" s="10" t="s">
        <v>62</v>
      </c>
      <c r="H124" s="10" t="n">
        <v>2</v>
      </c>
      <c r="I124" s="10" t="s">
        <v>1165</v>
      </c>
      <c r="J124" s="10" t="n">
        <v>0</v>
      </c>
      <c r="K124" s="10" t="s">
        <v>275</v>
      </c>
      <c r="L124" s="10" t="n">
        <v>0</v>
      </c>
      <c r="M124" s="10" t="n">
        <v>0</v>
      </c>
      <c r="N124" s="10" t="n">
        <v>0</v>
      </c>
      <c r="O124" s="10" t="n">
        <v>0</v>
      </c>
      <c r="P124" s="10" t="s">
        <v>87</v>
      </c>
      <c r="Q124" s="10" t="s">
        <v>69</v>
      </c>
      <c r="R124" s="10" t="s">
        <v>87</v>
      </c>
      <c r="S124" s="10" t="s">
        <v>69</v>
      </c>
      <c r="T124" s="10" t="s">
        <v>69</v>
      </c>
      <c r="U124" s="10" t="n">
        <v>2</v>
      </c>
      <c r="V124" s="10" t="s">
        <v>1166</v>
      </c>
      <c r="W124" s="10" t="s">
        <v>346</v>
      </c>
      <c r="X124" s="10" t="n">
        <v>1</v>
      </c>
      <c r="Y124" s="10" t="s">
        <v>1167</v>
      </c>
      <c r="Z124" s="10" t="s">
        <v>1168</v>
      </c>
      <c r="AA124" s="10" t="s">
        <v>110</v>
      </c>
      <c r="AB124" s="10" t="s">
        <v>70</v>
      </c>
      <c r="AC124" s="10" t="s">
        <v>94</v>
      </c>
      <c r="AD124" s="10" t="s">
        <v>95</v>
      </c>
      <c r="AE124" s="10" t="s">
        <v>62</v>
      </c>
      <c r="AF124" s="10" t="s">
        <v>125</v>
      </c>
      <c r="AG124" s="10" t="s">
        <v>287</v>
      </c>
      <c r="AH124" s="10" t="s">
        <v>437</v>
      </c>
    </row>
    <row r="125" customFormat="false" ht="46.25" hidden="false" customHeight="false" outlineLevel="0" collapsed="false">
      <c r="A125" s="10" t="s">
        <v>1169</v>
      </c>
      <c r="B125" s="10" t="s">
        <v>439</v>
      </c>
      <c r="C125" s="10" t="s">
        <v>312</v>
      </c>
      <c r="D125" s="10" t="s">
        <v>1170</v>
      </c>
      <c r="E125" s="10" t="s">
        <v>101</v>
      </c>
      <c r="F125" s="10" t="s">
        <v>1171</v>
      </c>
      <c r="G125" s="10" t="s">
        <v>62</v>
      </c>
      <c r="H125" s="10" t="n">
        <v>2</v>
      </c>
      <c r="I125" s="10" t="s">
        <v>1172</v>
      </c>
      <c r="J125" s="10" t="n">
        <v>2</v>
      </c>
      <c r="K125" s="10" t="s">
        <v>1094</v>
      </c>
      <c r="L125" s="10" t="n">
        <v>1</v>
      </c>
      <c r="M125" s="10" t="n">
        <v>1</v>
      </c>
      <c r="N125" s="10" t="n">
        <v>0</v>
      </c>
      <c r="O125" s="10" t="n">
        <v>1</v>
      </c>
      <c r="P125" s="10" t="s">
        <v>190</v>
      </c>
      <c r="Q125" s="10" t="s">
        <v>104</v>
      </c>
      <c r="R125" s="10" t="s">
        <v>67</v>
      </c>
      <c r="S125" s="10" t="s">
        <v>106</v>
      </c>
      <c r="T125" s="10" t="s">
        <v>69</v>
      </c>
      <c r="U125" s="10" t="n">
        <v>0</v>
      </c>
      <c r="V125" s="10" t="s">
        <v>70</v>
      </c>
      <c r="W125" s="10" t="s">
        <v>69</v>
      </c>
      <c r="X125" s="10" t="n">
        <v>1</v>
      </c>
      <c r="Y125" s="10" t="s">
        <v>1173</v>
      </c>
      <c r="Z125" s="10" t="s">
        <v>1174</v>
      </c>
      <c r="AA125" s="10" t="s">
        <v>72</v>
      </c>
      <c r="AB125" s="10" t="s">
        <v>110</v>
      </c>
      <c r="AC125" s="10" t="s">
        <v>74</v>
      </c>
      <c r="AD125" s="10" t="s">
        <v>75</v>
      </c>
      <c r="AE125" s="10" t="s">
        <v>76</v>
      </c>
      <c r="AF125" s="10" t="s">
        <v>77</v>
      </c>
      <c r="AG125" s="10" t="s">
        <v>1175</v>
      </c>
      <c r="AH125" s="10" t="s">
        <v>951</v>
      </c>
    </row>
    <row r="126" customFormat="false" ht="91" hidden="false" customHeight="false" outlineLevel="0" collapsed="false">
      <c r="A126" s="10" t="s">
        <v>1176</v>
      </c>
      <c r="B126" s="10" t="s">
        <v>1177</v>
      </c>
      <c r="C126" s="10" t="s">
        <v>166</v>
      </c>
      <c r="D126" s="10" t="s">
        <v>1178</v>
      </c>
      <c r="E126" s="10" t="s">
        <v>432</v>
      </c>
      <c r="F126" s="10" t="s">
        <v>1179</v>
      </c>
      <c r="G126" s="10" t="s">
        <v>76</v>
      </c>
      <c r="H126" s="10" t="n">
        <v>1</v>
      </c>
      <c r="I126" s="10" t="s">
        <v>1180</v>
      </c>
      <c r="J126" s="10" t="n">
        <v>0</v>
      </c>
      <c r="K126" s="10" t="s">
        <v>275</v>
      </c>
      <c r="L126" s="10" t="n">
        <v>0</v>
      </c>
      <c r="M126" s="10" t="n">
        <v>0</v>
      </c>
      <c r="N126" s="10" t="n">
        <v>0</v>
      </c>
      <c r="O126" s="10" t="n">
        <v>0</v>
      </c>
      <c r="P126" s="10" t="s">
        <v>87</v>
      </c>
      <c r="Q126" s="10" t="s">
        <v>69</v>
      </c>
      <c r="R126" s="10" t="s">
        <v>87</v>
      </c>
      <c r="S126" s="10" t="s">
        <v>69</v>
      </c>
      <c r="T126" s="10" t="s">
        <v>69</v>
      </c>
      <c r="U126" s="10" t="n">
        <v>0</v>
      </c>
      <c r="V126" s="10" t="s">
        <v>70</v>
      </c>
      <c r="W126" s="10" t="s">
        <v>69</v>
      </c>
      <c r="X126" s="10" t="n">
        <v>2</v>
      </c>
      <c r="Y126" s="10" t="s">
        <v>1181</v>
      </c>
      <c r="Z126" s="10" t="s">
        <v>1182</v>
      </c>
      <c r="AA126" s="10" t="s">
        <v>110</v>
      </c>
      <c r="AB126" s="10" t="s">
        <v>70</v>
      </c>
      <c r="AC126" s="10" t="s">
        <v>94</v>
      </c>
      <c r="AD126" s="10" t="s">
        <v>95</v>
      </c>
      <c r="AE126" s="10" t="s">
        <v>62</v>
      </c>
      <c r="AF126" s="10" t="s">
        <v>77</v>
      </c>
      <c r="AG126" s="10" t="s">
        <v>126</v>
      </c>
      <c r="AH126" s="10" t="s">
        <v>278</v>
      </c>
    </row>
    <row r="127" customFormat="false" ht="113.4" hidden="false" customHeight="false" outlineLevel="0" collapsed="false">
      <c r="A127" s="10" t="s">
        <v>1183</v>
      </c>
      <c r="B127" s="10" t="s">
        <v>1184</v>
      </c>
      <c r="C127" s="10" t="s">
        <v>185</v>
      </c>
      <c r="D127" s="10" t="s">
        <v>1185</v>
      </c>
      <c r="E127" s="10" t="s">
        <v>101</v>
      </c>
      <c r="F127" s="10" t="s">
        <v>84</v>
      </c>
      <c r="G127" s="10" t="s">
        <v>62</v>
      </c>
      <c r="H127" s="10" t="n">
        <v>2</v>
      </c>
      <c r="I127" s="10" t="s">
        <v>462</v>
      </c>
      <c r="J127" s="10" t="n">
        <v>2</v>
      </c>
      <c r="K127" s="10" t="s">
        <v>733</v>
      </c>
      <c r="L127" s="10" t="n">
        <v>1</v>
      </c>
      <c r="M127" s="10" t="n">
        <v>0</v>
      </c>
      <c r="N127" s="10" t="n">
        <v>0</v>
      </c>
      <c r="O127" s="10" t="n">
        <v>1</v>
      </c>
      <c r="P127" s="10" t="s">
        <v>87</v>
      </c>
      <c r="Q127" s="10" t="s">
        <v>104</v>
      </c>
      <c r="R127" s="10" t="s">
        <v>105</v>
      </c>
      <c r="S127" s="10" t="s">
        <v>106</v>
      </c>
      <c r="T127" s="10" t="s">
        <v>121</v>
      </c>
      <c r="U127" s="10" t="n">
        <v>2</v>
      </c>
      <c r="V127" s="10" t="s">
        <v>122</v>
      </c>
      <c r="W127" s="10" t="s">
        <v>171</v>
      </c>
      <c r="X127" s="10" t="n">
        <v>2</v>
      </c>
      <c r="Y127" s="10" t="s">
        <v>1186</v>
      </c>
      <c r="Z127" s="10" t="s">
        <v>1187</v>
      </c>
      <c r="AA127" s="10" t="s">
        <v>72</v>
      </c>
      <c r="AB127" s="10" t="s">
        <v>110</v>
      </c>
      <c r="AC127" s="10" t="s">
        <v>74</v>
      </c>
      <c r="AD127" s="10" t="s">
        <v>75</v>
      </c>
      <c r="AE127" s="10" t="s">
        <v>76</v>
      </c>
      <c r="AF127" s="10" t="s">
        <v>77</v>
      </c>
      <c r="AG127" s="10" t="s">
        <v>126</v>
      </c>
      <c r="AH127" s="10" t="s">
        <v>683</v>
      </c>
    </row>
    <row r="128" customFormat="false" ht="57.45" hidden="false" customHeight="false" outlineLevel="0" collapsed="false">
      <c r="A128" s="10" t="s">
        <v>1188</v>
      </c>
      <c r="B128" s="10" t="s">
        <v>1189</v>
      </c>
      <c r="C128" s="10" t="s">
        <v>364</v>
      </c>
      <c r="D128" s="10" t="s">
        <v>1190</v>
      </c>
      <c r="E128" s="10" t="s">
        <v>101</v>
      </c>
      <c r="F128" s="10" t="s">
        <v>1191</v>
      </c>
      <c r="G128" s="10" t="s">
        <v>76</v>
      </c>
      <c r="H128" s="10" t="n">
        <v>2</v>
      </c>
      <c r="I128" s="10" t="s">
        <v>1192</v>
      </c>
      <c r="J128" s="10" t="n">
        <v>1</v>
      </c>
      <c r="K128" s="10" t="s">
        <v>103</v>
      </c>
      <c r="L128" s="10" t="n">
        <v>2</v>
      </c>
      <c r="M128" s="10" t="n">
        <v>0</v>
      </c>
      <c r="N128" s="10" t="n">
        <v>2</v>
      </c>
      <c r="O128" s="10" t="n">
        <v>1</v>
      </c>
      <c r="P128" s="10" t="s">
        <v>87</v>
      </c>
      <c r="Q128" s="10" t="s">
        <v>88</v>
      </c>
      <c r="R128" s="10" t="s">
        <v>105</v>
      </c>
      <c r="S128" s="10" t="s">
        <v>1193</v>
      </c>
      <c r="T128" s="10" t="s">
        <v>121</v>
      </c>
      <c r="U128" s="10" t="n">
        <v>0</v>
      </c>
      <c r="V128" s="10" t="s">
        <v>70</v>
      </c>
      <c r="W128" s="10" t="s">
        <v>69</v>
      </c>
      <c r="X128" s="10" t="n">
        <v>1</v>
      </c>
      <c r="Y128" s="10" t="s">
        <v>1194</v>
      </c>
      <c r="Z128" s="10" t="s">
        <v>69</v>
      </c>
      <c r="AA128" s="10" t="s">
        <v>110</v>
      </c>
      <c r="AB128" s="10" t="s">
        <v>73</v>
      </c>
      <c r="AC128" s="10" t="s">
        <v>74</v>
      </c>
      <c r="AD128" s="10" t="s">
        <v>302</v>
      </c>
      <c r="AE128" s="10" t="s">
        <v>76</v>
      </c>
      <c r="AF128" s="10" t="s">
        <v>77</v>
      </c>
      <c r="AG128" s="10" t="s">
        <v>126</v>
      </c>
      <c r="AH128" s="10" t="s">
        <v>1195</v>
      </c>
    </row>
    <row r="129" customFormat="false" ht="57.45" hidden="false" customHeight="false" outlineLevel="0" collapsed="false">
      <c r="A129" s="10" t="s">
        <v>1196</v>
      </c>
      <c r="B129" s="10" t="s">
        <v>1197</v>
      </c>
      <c r="C129" s="10" t="s">
        <v>153</v>
      </c>
      <c r="D129" s="10" t="s">
        <v>1198</v>
      </c>
      <c r="E129" s="10" t="s">
        <v>101</v>
      </c>
      <c r="F129" s="10" t="s">
        <v>84</v>
      </c>
      <c r="G129" s="10" t="s">
        <v>112</v>
      </c>
      <c r="H129" s="10" t="n">
        <v>3</v>
      </c>
      <c r="I129" s="10" t="s">
        <v>1199</v>
      </c>
      <c r="J129" s="10" t="n">
        <v>3</v>
      </c>
      <c r="K129" s="10" t="s">
        <v>654</v>
      </c>
      <c r="L129" s="10" t="n">
        <v>2</v>
      </c>
      <c r="M129" s="10" t="n">
        <v>0</v>
      </c>
      <c r="N129" s="10" t="n">
        <v>2</v>
      </c>
      <c r="O129" s="10" t="n">
        <v>1</v>
      </c>
      <c r="P129" s="10" t="s">
        <v>87</v>
      </c>
      <c r="Q129" s="10" t="s">
        <v>88</v>
      </c>
      <c r="R129" s="10" t="s">
        <v>105</v>
      </c>
      <c r="S129" s="10" t="s">
        <v>90</v>
      </c>
      <c r="T129" s="10" t="s">
        <v>121</v>
      </c>
      <c r="U129" s="10" t="n">
        <v>2</v>
      </c>
      <c r="V129" s="10" t="s">
        <v>122</v>
      </c>
      <c r="W129" s="10" t="s">
        <v>171</v>
      </c>
      <c r="X129" s="10" t="n">
        <v>1</v>
      </c>
      <c r="Y129" s="10" t="s">
        <v>1200</v>
      </c>
      <c r="Z129" s="10" t="s">
        <v>69</v>
      </c>
      <c r="AA129" s="10" t="s">
        <v>110</v>
      </c>
      <c r="AB129" s="10" t="s">
        <v>72</v>
      </c>
      <c r="AC129" s="10" t="s">
        <v>74</v>
      </c>
      <c r="AD129" s="10" t="s">
        <v>1201</v>
      </c>
      <c r="AE129" s="10" t="s">
        <v>76</v>
      </c>
      <c r="AF129" s="10" t="s">
        <v>77</v>
      </c>
      <c r="AG129" s="10" t="s">
        <v>126</v>
      </c>
      <c r="AH129" s="10" t="s">
        <v>1202</v>
      </c>
    </row>
    <row r="130" customFormat="false" ht="91" hidden="false" customHeight="false" outlineLevel="0" collapsed="false">
      <c r="A130" s="10" t="s">
        <v>1203</v>
      </c>
      <c r="B130" s="10" t="s">
        <v>1204</v>
      </c>
      <c r="C130" s="10" t="s">
        <v>1205</v>
      </c>
      <c r="D130" s="10" t="s">
        <v>1206</v>
      </c>
      <c r="E130" s="10" t="s">
        <v>101</v>
      </c>
      <c r="F130" s="10" t="s">
        <v>1164</v>
      </c>
      <c r="G130" s="10" t="s">
        <v>112</v>
      </c>
      <c r="H130" s="10" t="n">
        <v>2</v>
      </c>
      <c r="I130" s="10" t="s">
        <v>1207</v>
      </c>
      <c r="J130" s="10" t="n">
        <v>2</v>
      </c>
      <c r="K130" s="10" t="s">
        <v>248</v>
      </c>
      <c r="L130" s="10" t="n">
        <v>2</v>
      </c>
      <c r="M130" s="10" t="n">
        <v>0</v>
      </c>
      <c r="N130" s="10" t="n">
        <v>2</v>
      </c>
      <c r="O130" s="10" t="n">
        <v>1</v>
      </c>
      <c r="P130" s="10" t="s">
        <v>87</v>
      </c>
      <c r="Q130" s="10" t="s">
        <v>1208</v>
      </c>
      <c r="R130" s="10" t="s">
        <v>67</v>
      </c>
      <c r="S130" s="10" t="s">
        <v>1209</v>
      </c>
      <c r="T130" s="10" t="s">
        <v>69</v>
      </c>
      <c r="U130" s="10" t="n">
        <v>0</v>
      </c>
      <c r="V130" s="10" t="s">
        <v>70</v>
      </c>
      <c r="W130" s="10" t="s">
        <v>69</v>
      </c>
      <c r="X130" s="10" t="n">
        <v>2</v>
      </c>
      <c r="Y130" s="10" t="s">
        <v>1210</v>
      </c>
      <c r="Z130" s="10" t="s">
        <v>1211</v>
      </c>
      <c r="AA130" s="10" t="s">
        <v>110</v>
      </c>
      <c r="AB130" s="10" t="s">
        <v>72</v>
      </c>
      <c r="AC130" s="10" t="s">
        <v>74</v>
      </c>
      <c r="AD130" s="10" t="s">
        <v>251</v>
      </c>
      <c r="AE130" s="10" t="s">
        <v>112</v>
      </c>
      <c r="AF130" s="10" t="s">
        <v>77</v>
      </c>
      <c r="AG130" s="10" t="s">
        <v>126</v>
      </c>
      <c r="AH130" s="10" t="s">
        <v>383</v>
      </c>
    </row>
    <row r="131" customFormat="false" ht="214.15" hidden="false" customHeight="false" outlineLevel="0" collapsed="false">
      <c r="A131" s="10" t="s">
        <v>1212</v>
      </c>
      <c r="B131" s="10" t="s">
        <v>1213</v>
      </c>
      <c r="C131" s="10" t="s">
        <v>166</v>
      </c>
      <c r="D131" s="10" t="s">
        <v>1214</v>
      </c>
      <c r="E131" s="10" t="s">
        <v>60</v>
      </c>
      <c r="F131" s="10" t="s">
        <v>61</v>
      </c>
      <c r="G131" s="10" t="s">
        <v>112</v>
      </c>
      <c r="H131" s="10" t="n">
        <v>2</v>
      </c>
      <c r="I131" s="10" t="s">
        <v>1215</v>
      </c>
      <c r="J131" s="10" t="n">
        <v>3</v>
      </c>
      <c r="K131" s="10" t="s">
        <v>463</v>
      </c>
      <c r="L131" s="10" t="n">
        <v>2</v>
      </c>
      <c r="M131" s="10" t="n">
        <v>1</v>
      </c>
      <c r="N131" s="10" t="n">
        <v>1</v>
      </c>
      <c r="O131" s="10" t="n">
        <v>1</v>
      </c>
      <c r="P131" s="10" t="s">
        <v>65</v>
      </c>
      <c r="Q131" s="10" t="s">
        <v>356</v>
      </c>
      <c r="R131" s="10" t="s">
        <v>105</v>
      </c>
      <c r="S131" s="10" t="s">
        <v>1216</v>
      </c>
      <c r="T131" s="10" t="s">
        <v>121</v>
      </c>
      <c r="U131" s="10" t="n">
        <v>2</v>
      </c>
      <c r="V131" s="10" t="s">
        <v>122</v>
      </c>
      <c r="W131" s="10" t="s">
        <v>108</v>
      </c>
      <c r="X131" s="10" t="n">
        <v>1</v>
      </c>
      <c r="Y131" s="10" t="s">
        <v>1217</v>
      </c>
      <c r="Z131" s="10" t="s">
        <v>69</v>
      </c>
      <c r="AA131" s="10" t="s">
        <v>72</v>
      </c>
      <c r="AB131" s="10" t="s">
        <v>73</v>
      </c>
      <c r="AC131" s="10" t="s">
        <v>94</v>
      </c>
      <c r="AD131" s="10" t="s">
        <v>95</v>
      </c>
      <c r="AE131" s="10" t="s">
        <v>62</v>
      </c>
      <c r="AF131" s="10" t="s">
        <v>427</v>
      </c>
      <c r="AG131" s="10" t="s">
        <v>126</v>
      </c>
      <c r="AH131" s="10" t="s">
        <v>1218</v>
      </c>
    </row>
    <row r="132" customFormat="false" ht="135.8" hidden="false" customHeight="false" outlineLevel="0" collapsed="false">
      <c r="A132" s="10" t="s">
        <v>1219</v>
      </c>
      <c r="B132" s="10" t="s">
        <v>1220</v>
      </c>
      <c r="C132" s="10" t="s">
        <v>153</v>
      </c>
      <c r="D132" s="10" t="s">
        <v>1221</v>
      </c>
      <c r="E132" s="10" t="s">
        <v>101</v>
      </c>
      <c r="F132" s="10" t="s">
        <v>61</v>
      </c>
      <c r="G132" s="10" t="s">
        <v>76</v>
      </c>
      <c r="H132" s="10" t="n">
        <v>2</v>
      </c>
      <c r="I132" s="10" t="s">
        <v>1222</v>
      </c>
      <c r="J132" s="10" t="n">
        <v>2</v>
      </c>
      <c r="K132" s="10" t="s">
        <v>1223</v>
      </c>
      <c r="L132" s="10" t="n">
        <v>1</v>
      </c>
      <c r="M132" s="10" t="n">
        <v>0</v>
      </c>
      <c r="N132" s="10" t="n">
        <v>0</v>
      </c>
      <c r="O132" s="10" t="n">
        <v>1</v>
      </c>
      <c r="P132" s="10" t="s">
        <v>87</v>
      </c>
      <c r="Q132" s="10" t="s">
        <v>69</v>
      </c>
      <c r="R132" s="10" t="s">
        <v>105</v>
      </c>
      <c r="S132" s="10" t="s">
        <v>69</v>
      </c>
      <c r="T132" s="10" t="s">
        <v>121</v>
      </c>
      <c r="U132" s="10" t="n">
        <v>0</v>
      </c>
      <c r="V132" s="10" t="s">
        <v>70</v>
      </c>
      <c r="W132" s="10" t="s">
        <v>69</v>
      </c>
      <c r="X132" s="10" t="n">
        <v>1</v>
      </c>
      <c r="Y132" s="10" t="s">
        <v>1224</v>
      </c>
      <c r="Z132" s="10" t="s">
        <v>69</v>
      </c>
      <c r="AA132" s="10" t="s">
        <v>110</v>
      </c>
      <c r="AB132" s="10" t="s">
        <v>72</v>
      </c>
      <c r="AC132" s="10" t="s">
        <v>74</v>
      </c>
      <c r="AD132" s="10" t="s">
        <v>251</v>
      </c>
      <c r="AE132" s="10" t="s">
        <v>112</v>
      </c>
      <c r="AF132" s="10" t="s">
        <v>77</v>
      </c>
      <c r="AG132" s="10" t="s">
        <v>126</v>
      </c>
      <c r="AH132" s="10" t="s">
        <v>428</v>
      </c>
    </row>
    <row r="133" customFormat="false" ht="169.4" hidden="false" customHeight="false" outlineLevel="0" collapsed="false">
      <c r="A133" s="10" t="s">
        <v>1225</v>
      </c>
      <c r="B133" s="10" t="s">
        <v>1226</v>
      </c>
      <c r="C133" s="10" t="s">
        <v>312</v>
      </c>
      <c r="D133" s="10" t="s">
        <v>1227</v>
      </c>
      <c r="E133" s="10" t="s">
        <v>101</v>
      </c>
      <c r="F133" s="10" t="s">
        <v>61</v>
      </c>
      <c r="G133" s="10" t="s">
        <v>76</v>
      </c>
      <c r="H133" s="10" t="n">
        <v>2</v>
      </c>
      <c r="I133" s="10" t="s">
        <v>422</v>
      </c>
      <c r="J133" s="10" t="n">
        <v>1</v>
      </c>
      <c r="K133" s="10" t="s">
        <v>133</v>
      </c>
      <c r="L133" s="10" t="n">
        <v>1</v>
      </c>
      <c r="M133" s="10" t="n">
        <v>0</v>
      </c>
      <c r="N133" s="10" t="n">
        <v>0</v>
      </c>
      <c r="O133" s="10" t="n">
        <v>1</v>
      </c>
      <c r="P133" s="10" t="s">
        <v>87</v>
      </c>
      <c r="Q133" s="10" t="s">
        <v>69</v>
      </c>
      <c r="R133" s="10" t="s">
        <v>105</v>
      </c>
      <c r="S133" s="10" t="s">
        <v>69</v>
      </c>
      <c r="T133" s="10" t="s">
        <v>121</v>
      </c>
      <c r="U133" s="10" t="n">
        <v>0</v>
      </c>
      <c r="V133" s="10" t="s">
        <v>70</v>
      </c>
      <c r="W133" s="10" t="s">
        <v>69</v>
      </c>
      <c r="X133" s="10" t="n">
        <v>1</v>
      </c>
      <c r="Y133" s="10" t="s">
        <v>1228</v>
      </c>
      <c r="Z133" s="10" t="s">
        <v>69</v>
      </c>
      <c r="AA133" s="10" t="s">
        <v>110</v>
      </c>
      <c r="AB133" s="10" t="s">
        <v>70</v>
      </c>
      <c r="AC133" s="10" t="s">
        <v>94</v>
      </c>
      <c r="AD133" s="10" t="s">
        <v>95</v>
      </c>
      <c r="AE133" s="10" t="s">
        <v>62</v>
      </c>
      <c r="AF133" s="10" t="s">
        <v>77</v>
      </c>
      <c r="AG133" s="10" t="s">
        <v>126</v>
      </c>
      <c r="AH133" s="10" t="s">
        <v>212</v>
      </c>
    </row>
    <row r="134" customFormat="false" ht="68.65" hidden="false" customHeight="false" outlineLevel="0" collapsed="false">
      <c r="A134" s="10" t="s">
        <v>1229</v>
      </c>
      <c r="B134" s="10" t="s">
        <v>1230</v>
      </c>
      <c r="C134" s="10" t="s">
        <v>58</v>
      </c>
      <c r="D134" s="10" t="s">
        <v>1231</v>
      </c>
      <c r="E134" s="10" t="s">
        <v>101</v>
      </c>
      <c r="F134" s="10" t="s">
        <v>61</v>
      </c>
      <c r="G134" s="10" t="s">
        <v>76</v>
      </c>
      <c r="H134" s="10" t="n">
        <v>1</v>
      </c>
      <c r="I134" s="10" t="s">
        <v>274</v>
      </c>
      <c r="J134" s="10" t="n">
        <v>1</v>
      </c>
      <c r="K134" s="10" t="s">
        <v>1232</v>
      </c>
      <c r="L134" s="10" t="n">
        <v>0</v>
      </c>
      <c r="M134" s="10" t="n">
        <v>0</v>
      </c>
      <c r="N134" s="10" t="n">
        <v>0</v>
      </c>
      <c r="O134" s="10" t="n">
        <v>0</v>
      </c>
      <c r="P134" s="10" t="s">
        <v>87</v>
      </c>
      <c r="Q134" s="10" t="s">
        <v>69</v>
      </c>
      <c r="R134" s="10" t="s">
        <v>87</v>
      </c>
      <c r="S134" s="10" t="s">
        <v>69</v>
      </c>
      <c r="T134" s="10" t="s">
        <v>69</v>
      </c>
      <c r="U134" s="10" t="n">
        <v>0</v>
      </c>
      <c r="V134" s="10" t="s">
        <v>70</v>
      </c>
      <c r="W134" s="10" t="s">
        <v>69</v>
      </c>
      <c r="X134" s="10" t="n">
        <v>1</v>
      </c>
      <c r="Y134" s="10" t="s">
        <v>1233</v>
      </c>
      <c r="Z134" s="10" t="s">
        <v>69</v>
      </c>
      <c r="AA134" s="10" t="s">
        <v>110</v>
      </c>
      <c r="AB134" s="10" t="s">
        <v>70</v>
      </c>
      <c r="AC134" s="10" t="s">
        <v>74</v>
      </c>
      <c r="AD134" s="10" t="s">
        <v>111</v>
      </c>
      <c r="AE134" s="10" t="s">
        <v>112</v>
      </c>
      <c r="AF134" s="10" t="s">
        <v>277</v>
      </c>
      <c r="AG134" s="10" t="s">
        <v>126</v>
      </c>
      <c r="AH134" s="10" t="s">
        <v>1234</v>
      </c>
    </row>
    <row r="135" customFormat="false" ht="147" hidden="false" customHeight="false" outlineLevel="0" collapsed="false">
      <c r="A135" s="10" t="s">
        <v>1235</v>
      </c>
      <c r="B135" s="10" t="s">
        <v>1236</v>
      </c>
      <c r="C135" s="10" t="s">
        <v>339</v>
      </c>
      <c r="D135" s="10" t="s">
        <v>1237</v>
      </c>
      <c r="E135" s="10" t="s">
        <v>101</v>
      </c>
      <c r="F135" s="10" t="s">
        <v>61</v>
      </c>
      <c r="G135" s="10" t="s">
        <v>76</v>
      </c>
      <c r="H135" s="10" t="n">
        <v>1</v>
      </c>
      <c r="I135" s="10" t="s">
        <v>1238</v>
      </c>
      <c r="J135" s="10" t="n">
        <v>0</v>
      </c>
      <c r="K135" s="10" t="s">
        <v>275</v>
      </c>
      <c r="L135" s="10" t="n">
        <v>0</v>
      </c>
      <c r="M135" s="10" t="n">
        <v>0</v>
      </c>
      <c r="N135" s="10" t="n">
        <v>0</v>
      </c>
      <c r="O135" s="10" t="n">
        <v>0</v>
      </c>
      <c r="P135" s="10" t="s">
        <v>87</v>
      </c>
      <c r="Q135" s="10" t="s">
        <v>69</v>
      </c>
      <c r="R135" s="10" t="s">
        <v>87</v>
      </c>
      <c r="S135" s="10" t="s">
        <v>69</v>
      </c>
      <c r="T135" s="10" t="s">
        <v>69</v>
      </c>
      <c r="U135" s="10" t="n">
        <v>0</v>
      </c>
      <c r="V135" s="10" t="s">
        <v>70</v>
      </c>
      <c r="W135" s="10" t="s">
        <v>69</v>
      </c>
      <c r="X135" s="10" t="n">
        <v>1</v>
      </c>
      <c r="Y135" s="10" t="s">
        <v>1239</v>
      </c>
      <c r="Z135" s="10" t="s">
        <v>69</v>
      </c>
      <c r="AA135" s="10" t="s">
        <v>110</v>
      </c>
      <c r="AB135" s="10" t="s">
        <v>70</v>
      </c>
      <c r="AC135" s="10" t="s">
        <v>94</v>
      </c>
      <c r="AD135" s="10" t="s">
        <v>95</v>
      </c>
      <c r="AE135" s="10" t="s">
        <v>62</v>
      </c>
      <c r="AF135" s="10" t="s">
        <v>77</v>
      </c>
      <c r="AG135" s="10" t="s">
        <v>113</v>
      </c>
      <c r="AH135" s="10" t="s">
        <v>278</v>
      </c>
    </row>
    <row r="136" customFormat="false" ht="214.15" hidden="false" customHeight="false" outlineLevel="0" collapsed="false">
      <c r="A136" s="10" t="s">
        <v>1240</v>
      </c>
      <c r="B136" s="10" t="s">
        <v>1241</v>
      </c>
      <c r="C136" s="10" t="s">
        <v>215</v>
      </c>
      <c r="D136" s="10" t="s">
        <v>1242</v>
      </c>
      <c r="E136" s="10" t="s">
        <v>101</v>
      </c>
      <c r="F136" s="10" t="s">
        <v>1243</v>
      </c>
      <c r="G136" s="10" t="s">
        <v>112</v>
      </c>
      <c r="H136" s="10" t="n">
        <v>2</v>
      </c>
      <c r="I136" s="10" t="s">
        <v>1244</v>
      </c>
      <c r="J136" s="10" t="n">
        <v>2</v>
      </c>
      <c r="K136" s="10" t="s">
        <v>380</v>
      </c>
      <c r="L136" s="10" t="n">
        <v>1</v>
      </c>
      <c r="M136" s="10" t="n">
        <v>0</v>
      </c>
      <c r="N136" s="10" t="n">
        <v>0</v>
      </c>
      <c r="O136" s="10" t="n">
        <v>1</v>
      </c>
      <c r="P136" s="10" t="s">
        <v>87</v>
      </c>
      <c r="Q136" s="10" t="s">
        <v>104</v>
      </c>
      <c r="R136" s="10" t="s">
        <v>105</v>
      </c>
      <c r="S136" s="10" t="s">
        <v>106</v>
      </c>
      <c r="T136" s="10" t="s">
        <v>121</v>
      </c>
      <c r="U136" s="10" t="n">
        <v>0</v>
      </c>
      <c r="V136" s="10" t="s">
        <v>70</v>
      </c>
      <c r="W136" s="10" t="s">
        <v>69</v>
      </c>
      <c r="X136" s="10" t="n">
        <v>2</v>
      </c>
      <c r="Y136" s="10" t="s">
        <v>1245</v>
      </c>
      <c r="Z136" s="10" t="s">
        <v>1246</v>
      </c>
      <c r="AA136" s="10" t="s">
        <v>110</v>
      </c>
      <c r="AB136" s="10" t="s">
        <v>72</v>
      </c>
      <c r="AC136" s="10" t="s">
        <v>74</v>
      </c>
      <c r="AD136" s="10" t="s">
        <v>251</v>
      </c>
      <c r="AE136" s="10" t="s">
        <v>112</v>
      </c>
      <c r="AF136" s="10" t="s">
        <v>77</v>
      </c>
      <c r="AG136" s="10" t="s">
        <v>126</v>
      </c>
      <c r="AH136" s="10" t="s">
        <v>428</v>
      </c>
    </row>
    <row r="137" customFormat="false" ht="258.95" hidden="false" customHeight="false" outlineLevel="0" collapsed="false">
      <c r="A137" s="10" t="s">
        <v>1247</v>
      </c>
      <c r="B137" s="10" t="s">
        <v>836</v>
      </c>
      <c r="C137" s="10" t="s">
        <v>1248</v>
      </c>
      <c r="D137" s="10" t="s">
        <v>1249</v>
      </c>
      <c r="E137" s="10" t="s">
        <v>60</v>
      </c>
      <c r="F137" s="10" t="s">
        <v>1250</v>
      </c>
      <c r="G137" s="10" t="s">
        <v>62</v>
      </c>
      <c r="H137" s="10" t="n">
        <v>3</v>
      </c>
      <c r="I137" s="10" t="s">
        <v>1251</v>
      </c>
      <c r="J137" s="10" t="n">
        <v>3</v>
      </c>
      <c r="K137" s="10" t="s">
        <v>822</v>
      </c>
      <c r="L137" s="10" t="n">
        <v>2</v>
      </c>
      <c r="M137" s="10" t="n">
        <v>1</v>
      </c>
      <c r="N137" s="10" t="n">
        <v>1</v>
      </c>
      <c r="O137" s="10" t="n">
        <v>1</v>
      </c>
      <c r="P137" s="10" t="s">
        <v>65</v>
      </c>
      <c r="Q137" s="10" t="s">
        <v>1252</v>
      </c>
      <c r="R137" s="10" t="s">
        <v>105</v>
      </c>
      <c r="S137" s="10" t="s">
        <v>1253</v>
      </c>
      <c r="T137" s="10" t="s">
        <v>121</v>
      </c>
      <c r="U137" s="10" t="n">
        <v>0</v>
      </c>
      <c r="V137" s="10" t="s">
        <v>70</v>
      </c>
      <c r="W137" s="10" t="s">
        <v>69</v>
      </c>
      <c r="X137" s="10" t="n">
        <v>2</v>
      </c>
      <c r="Y137" s="10" t="s">
        <v>1254</v>
      </c>
      <c r="Z137" s="10" t="s">
        <v>1255</v>
      </c>
      <c r="AA137" s="10" t="s">
        <v>110</v>
      </c>
      <c r="AB137" s="10" t="s">
        <v>72</v>
      </c>
      <c r="AC137" s="10" t="s">
        <v>74</v>
      </c>
      <c r="AD137" s="10" t="s">
        <v>532</v>
      </c>
      <c r="AE137" s="10" t="s">
        <v>112</v>
      </c>
      <c r="AF137" s="10" t="s">
        <v>77</v>
      </c>
      <c r="AG137" s="10" t="s">
        <v>360</v>
      </c>
      <c r="AH137" s="10" t="s">
        <v>1256</v>
      </c>
    </row>
    <row r="138" customFormat="false" ht="102.2" hidden="false" customHeight="false" outlineLevel="0" collapsed="false">
      <c r="A138" s="10" t="s">
        <v>1257</v>
      </c>
      <c r="B138" s="10" t="s">
        <v>311</v>
      </c>
      <c r="C138" s="10" t="s">
        <v>138</v>
      </c>
      <c r="D138" s="10" t="s">
        <v>1258</v>
      </c>
      <c r="E138" s="10" t="s">
        <v>60</v>
      </c>
      <c r="F138" s="10" t="s">
        <v>61</v>
      </c>
      <c r="G138" s="10" t="s">
        <v>112</v>
      </c>
      <c r="H138" s="10" t="n">
        <v>0</v>
      </c>
      <c r="I138" s="10" t="s">
        <v>140</v>
      </c>
      <c r="J138" s="10" t="n">
        <v>3</v>
      </c>
      <c r="K138" s="10" t="s">
        <v>537</v>
      </c>
      <c r="L138" s="10" t="n">
        <v>3</v>
      </c>
      <c r="M138" s="10" t="n">
        <v>1</v>
      </c>
      <c r="N138" s="10" t="n">
        <v>2</v>
      </c>
      <c r="O138" s="10" t="n">
        <v>3</v>
      </c>
      <c r="P138" s="10" t="s">
        <v>65</v>
      </c>
      <c r="Q138" s="10" t="s">
        <v>88</v>
      </c>
      <c r="R138" s="10" t="s">
        <v>1259</v>
      </c>
      <c r="S138" s="10" t="s">
        <v>90</v>
      </c>
      <c r="T138" s="10" t="s">
        <v>91</v>
      </c>
      <c r="U138" s="10" t="n">
        <v>0</v>
      </c>
      <c r="V138" s="10" t="s">
        <v>70</v>
      </c>
      <c r="W138" s="10" t="s">
        <v>69</v>
      </c>
      <c r="X138" s="10" t="n">
        <v>2</v>
      </c>
      <c r="Y138" s="10" t="s">
        <v>1260</v>
      </c>
      <c r="Z138" s="10" t="s">
        <v>1261</v>
      </c>
      <c r="AA138" s="10" t="s">
        <v>73</v>
      </c>
      <c r="AB138" s="10" t="s">
        <v>72</v>
      </c>
      <c r="AC138" s="10" t="s">
        <v>74</v>
      </c>
      <c r="AD138" s="10" t="s">
        <v>174</v>
      </c>
      <c r="AE138" s="10" t="s">
        <v>112</v>
      </c>
      <c r="AF138" s="10" t="s">
        <v>77</v>
      </c>
      <c r="AG138" s="10" t="s">
        <v>149</v>
      </c>
      <c r="AH138" s="10" t="s">
        <v>1262</v>
      </c>
    </row>
    <row r="139" customFormat="false" ht="91" hidden="false" customHeight="false" outlineLevel="0" collapsed="false">
      <c r="A139" s="10" t="s">
        <v>1263</v>
      </c>
      <c r="B139" s="10" t="s">
        <v>1264</v>
      </c>
      <c r="C139" s="10" t="s">
        <v>166</v>
      </c>
      <c r="D139" s="10" t="s">
        <v>1265</v>
      </c>
      <c r="E139" s="10" t="s">
        <v>60</v>
      </c>
      <c r="F139" s="10" t="s">
        <v>61</v>
      </c>
      <c r="G139" s="10" t="s">
        <v>112</v>
      </c>
      <c r="H139" s="10" t="n">
        <v>2</v>
      </c>
      <c r="I139" s="10" t="s">
        <v>1266</v>
      </c>
      <c r="J139" s="10" t="n">
        <v>3</v>
      </c>
      <c r="K139" s="10" t="s">
        <v>822</v>
      </c>
      <c r="L139" s="10" t="n">
        <v>2</v>
      </c>
      <c r="M139" s="10" t="n">
        <v>0</v>
      </c>
      <c r="N139" s="10" t="n">
        <v>1</v>
      </c>
      <c r="O139" s="10" t="n">
        <v>2</v>
      </c>
      <c r="P139" s="10" t="s">
        <v>87</v>
      </c>
      <c r="Q139" s="10" t="s">
        <v>1267</v>
      </c>
      <c r="R139" s="10" t="s">
        <v>590</v>
      </c>
      <c r="S139" s="10" t="s">
        <v>1268</v>
      </c>
      <c r="T139" s="10" t="s">
        <v>121</v>
      </c>
      <c r="U139" s="10" t="n">
        <v>0</v>
      </c>
      <c r="V139" s="10" t="s">
        <v>70</v>
      </c>
      <c r="W139" s="10" t="s">
        <v>69</v>
      </c>
      <c r="X139" s="10" t="n">
        <v>2</v>
      </c>
      <c r="Y139" s="10" t="s">
        <v>1269</v>
      </c>
      <c r="Z139" s="10" t="s">
        <v>1270</v>
      </c>
      <c r="AA139" s="10" t="s">
        <v>72</v>
      </c>
      <c r="AB139" s="10" t="s">
        <v>73</v>
      </c>
      <c r="AC139" s="10" t="s">
        <v>94</v>
      </c>
      <c r="AD139" s="10" t="s">
        <v>95</v>
      </c>
      <c r="AE139" s="10" t="s">
        <v>62</v>
      </c>
      <c r="AF139" s="10" t="s">
        <v>77</v>
      </c>
      <c r="AG139" s="10" t="s">
        <v>162</v>
      </c>
      <c r="AH139" s="10" t="s">
        <v>1271</v>
      </c>
    </row>
    <row r="140" customFormat="false" ht="46.25" hidden="false" customHeight="false" outlineLevel="0" collapsed="false">
      <c r="A140" s="10" t="s">
        <v>1272</v>
      </c>
      <c r="B140" s="10" t="s">
        <v>1273</v>
      </c>
      <c r="C140" s="10" t="s">
        <v>1131</v>
      </c>
      <c r="D140" s="10" t="s">
        <v>1274</v>
      </c>
      <c r="E140" s="10" t="s">
        <v>101</v>
      </c>
      <c r="F140" s="10" t="s">
        <v>1164</v>
      </c>
      <c r="G140" s="10" t="s">
        <v>112</v>
      </c>
      <c r="H140" s="10" t="n">
        <v>3</v>
      </c>
      <c r="I140" s="10" t="s">
        <v>1275</v>
      </c>
      <c r="J140" s="10" t="n">
        <v>3</v>
      </c>
      <c r="K140" s="10" t="s">
        <v>342</v>
      </c>
      <c r="L140" s="10" t="n">
        <v>1</v>
      </c>
      <c r="M140" s="10" t="n">
        <v>0</v>
      </c>
      <c r="N140" s="10" t="n">
        <v>0</v>
      </c>
      <c r="O140" s="10" t="n">
        <v>0</v>
      </c>
      <c r="P140" s="10" t="s">
        <v>87</v>
      </c>
      <c r="Q140" s="10" t="s">
        <v>104</v>
      </c>
      <c r="R140" s="10" t="s">
        <v>87</v>
      </c>
      <c r="S140" s="10" t="s">
        <v>106</v>
      </c>
      <c r="T140" s="10" t="s">
        <v>1276</v>
      </c>
      <c r="U140" s="10" t="n">
        <v>0</v>
      </c>
      <c r="V140" s="10" t="s">
        <v>70</v>
      </c>
      <c r="W140" s="10" t="s">
        <v>69</v>
      </c>
      <c r="X140" s="10" t="n">
        <v>2</v>
      </c>
      <c r="Y140" s="10" t="s">
        <v>1277</v>
      </c>
      <c r="Z140" s="10" t="s">
        <v>1278</v>
      </c>
      <c r="AA140" s="10" t="s">
        <v>110</v>
      </c>
      <c r="AB140" s="10" t="s">
        <v>72</v>
      </c>
      <c r="AC140" s="10" t="s">
        <v>74</v>
      </c>
      <c r="AD140" s="10" t="s">
        <v>532</v>
      </c>
      <c r="AE140" s="10" t="s">
        <v>112</v>
      </c>
      <c r="AF140" s="10" t="s">
        <v>77</v>
      </c>
      <c r="AG140" s="10" t="s">
        <v>126</v>
      </c>
      <c r="AH140" s="10" t="s">
        <v>1279</v>
      </c>
    </row>
    <row r="141" customFormat="false" ht="35.05" hidden="false" customHeight="false" outlineLevel="0" collapsed="false">
      <c r="A141" s="10" t="s">
        <v>1280</v>
      </c>
      <c r="B141" s="10" t="s">
        <v>1281</v>
      </c>
      <c r="C141" s="10" t="s">
        <v>321</v>
      </c>
      <c r="D141" s="10" t="s">
        <v>1282</v>
      </c>
      <c r="E141" s="10" t="s">
        <v>60</v>
      </c>
      <c r="F141" s="10" t="s">
        <v>61</v>
      </c>
      <c r="G141" s="10" t="s">
        <v>62</v>
      </c>
      <c r="H141" s="10" t="n">
        <v>2</v>
      </c>
      <c r="I141" s="10" t="s">
        <v>63</v>
      </c>
      <c r="J141" s="10" t="n">
        <v>3</v>
      </c>
      <c r="K141" s="10" t="s">
        <v>168</v>
      </c>
      <c r="L141" s="10" t="n">
        <v>3</v>
      </c>
      <c r="M141" s="10" t="n">
        <v>1</v>
      </c>
      <c r="N141" s="10" t="n">
        <v>3</v>
      </c>
      <c r="O141" s="10" t="n">
        <v>3</v>
      </c>
      <c r="P141" s="10" t="s">
        <v>65</v>
      </c>
      <c r="Q141" s="10" t="s">
        <v>613</v>
      </c>
      <c r="R141" s="10" t="s">
        <v>89</v>
      </c>
      <c r="S141" s="10" t="s">
        <v>614</v>
      </c>
      <c r="T141" s="10" t="s">
        <v>91</v>
      </c>
      <c r="U141" s="10" t="n">
        <v>2</v>
      </c>
      <c r="V141" s="10" t="s">
        <v>316</v>
      </c>
      <c r="W141" s="10" t="s">
        <v>108</v>
      </c>
      <c r="X141" s="10" t="n">
        <v>2</v>
      </c>
      <c r="Y141" s="10" t="s">
        <v>1283</v>
      </c>
      <c r="Z141" s="10" t="s">
        <v>1284</v>
      </c>
      <c r="AA141" s="10" t="s">
        <v>73</v>
      </c>
      <c r="AB141" s="10" t="s">
        <v>72</v>
      </c>
      <c r="AC141" s="10" t="s">
        <v>74</v>
      </c>
      <c r="AD141" s="10" t="s">
        <v>174</v>
      </c>
      <c r="AE141" s="10" t="s">
        <v>112</v>
      </c>
      <c r="AF141" s="10" t="s">
        <v>77</v>
      </c>
      <c r="AG141" s="10" t="s">
        <v>162</v>
      </c>
      <c r="AH141" s="10" t="s">
        <v>787</v>
      </c>
    </row>
    <row r="142" customFormat="false" ht="35.05" hidden="false" customHeight="false" outlineLevel="0" collapsed="false">
      <c r="A142" s="10" t="s">
        <v>1285</v>
      </c>
      <c r="B142" s="10" t="s">
        <v>846</v>
      </c>
      <c r="C142" s="10" t="s">
        <v>215</v>
      </c>
      <c r="D142" s="10" t="s">
        <v>1286</v>
      </c>
      <c r="E142" s="10" t="s">
        <v>101</v>
      </c>
      <c r="F142" s="10" t="s">
        <v>61</v>
      </c>
      <c r="G142" s="10" t="s">
        <v>112</v>
      </c>
      <c r="H142" s="10" t="n">
        <v>0</v>
      </c>
      <c r="I142" s="10" t="s">
        <v>140</v>
      </c>
      <c r="J142" s="10" t="n">
        <v>2</v>
      </c>
      <c r="K142" s="10" t="s">
        <v>189</v>
      </c>
      <c r="L142" s="10" t="n">
        <v>1</v>
      </c>
      <c r="M142" s="10" t="n">
        <v>1</v>
      </c>
      <c r="N142" s="10" t="n">
        <v>0</v>
      </c>
      <c r="O142" s="10" t="n">
        <v>1</v>
      </c>
      <c r="P142" s="10" t="s">
        <v>65</v>
      </c>
      <c r="Q142" s="10" t="s">
        <v>266</v>
      </c>
      <c r="R142" s="10" t="s">
        <v>67</v>
      </c>
      <c r="S142" s="10" t="s">
        <v>1287</v>
      </c>
      <c r="T142" s="10" t="s">
        <v>1288</v>
      </c>
      <c r="U142" s="10" t="n">
        <v>0</v>
      </c>
      <c r="V142" s="10" t="s">
        <v>70</v>
      </c>
      <c r="W142" s="10" t="s">
        <v>69</v>
      </c>
      <c r="X142" s="10" t="n">
        <v>2</v>
      </c>
      <c r="Y142" s="10" t="s">
        <v>1289</v>
      </c>
      <c r="Z142" s="10" t="s">
        <v>1290</v>
      </c>
      <c r="AA142" s="10" t="s">
        <v>72</v>
      </c>
      <c r="AB142" s="10" t="s">
        <v>70</v>
      </c>
      <c r="AC142" s="10" t="s">
        <v>94</v>
      </c>
      <c r="AD142" s="10" t="s">
        <v>95</v>
      </c>
      <c r="AE142" s="10" t="s">
        <v>62</v>
      </c>
      <c r="AF142" s="10" t="s">
        <v>77</v>
      </c>
      <c r="AG142" s="10" t="s">
        <v>149</v>
      </c>
      <c r="AH142" s="10" t="s">
        <v>1291</v>
      </c>
    </row>
    <row r="143" customFormat="false" ht="46.25" hidden="false" customHeight="false" outlineLevel="0" collapsed="false">
      <c r="A143" s="10" t="s">
        <v>1292</v>
      </c>
      <c r="B143" s="10" t="s">
        <v>1293</v>
      </c>
      <c r="C143" s="10" t="s">
        <v>364</v>
      </c>
      <c r="D143" s="10" t="s">
        <v>1294</v>
      </c>
      <c r="E143" s="10" t="s">
        <v>60</v>
      </c>
      <c r="F143" s="10" t="s">
        <v>61</v>
      </c>
      <c r="G143" s="10" t="s">
        <v>62</v>
      </c>
      <c r="H143" s="10" t="n">
        <v>1</v>
      </c>
      <c r="I143" s="10" t="s">
        <v>314</v>
      </c>
      <c r="J143" s="10" t="n">
        <v>3</v>
      </c>
      <c r="K143" s="10" t="s">
        <v>168</v>
      </c>
      <c r="L143" s="10" t="n">
        <v>1</v>
      </c>
      <c r="M143" s="10" t="n">
        <v>1</v>
      </c>
      <c r="N143" s="10" t="n">
        <v>0</v>
      </c>
      <c r="O143" s="10" t="n">
        <v>3</v>
      </c>
      <c r="P143" s="10" t="s">
        <v>65</v>
      </c>
      <c r="Q143" s="10" t="s">
        <v>69</v>
      </c>
      <c r="R143" s="10" t="s">
        <v>89</v>
      </c>
      <c r="S143" s="10" t="s">
        <v>69</v>
      </c>
      <c r="T143" s="10" t="s">
        <v>91</v>
      </c>
      <c r="U143" s="10" t="n">
        <v>0</v>
      </c>
      <c r="V143" s="10" t="s">
        <v>70</v>
      </c>
      <c r="W143" s="10" t="s">
        <v>69</v>
      </c>
      <c r="X143" s="10" t="n">
        <v>2</v>
      </c>
      <c r="Y143" s="10" t="s">
        <v>1295</v>
      </c>
      <c r="Z143" s="10" t="s">
        <v>1296</v>
      </c>
      <c r="AA143" s="10" t="s">
        <v>72</v>
      </c>
      <c r="AB143" s="10" t="s">
        <v>70</v>
      </c>
      <c r="AC143" s="10" t="s">
        <v>94</v>
      </c>
      <c r="AD143" s="10" t="s">
        <v>95</v>
      </c>
      <c r="AE143" s="10" t="s">
        <v>62</v>
      </c>
      <c r="AF143" s="10" t="s">
        <v>77</v>
      </c>
      <c r="AG143" s="10" t="s">
        <v>78</v>
      </c>
      <c r="AH143" s="10" t="s">
        <v>1297</v>
      </c>
    </row>
    <row r="144" customFormat="false" ht="113.4" hidden="false" customHeight="false" outlineLevel="0" collapsed="false">
      <c r="A144" s="10" t="s">
        <v>1298</v>
      </c>
      <c r="B144" s="10" t="s">
        <v>1299</v>
      </c>
      <c r="C144" s="10" t="s">
        <v>185</v>
      </c>
      <c r="D144" s="10" t="s">
        <v>1300</v>
      </c>
      <c r="E144" s="10" t="s">
        <v>101</v>
      </c>
      <c r="F144" s="10" t="s">
        <v>528</v>
      </c>
      <c r="G144" s="10" t="s">
        <v>76</v>
      </c>
      <c r="H144" s="10" t="n">
        <v>3</v>
      </c>
      <c r="I144" s="10" t="s">
        <v>1301</v>
      </c>
      <c r="J144" s="10" t="n">
        <v>1</v>
      </c>
      <c r="K144" s="10" t="s">
        <v>103</v>
      </c>
      <c r="L144" s="10" t="n">
        <v>1</v>
      </c>
      <c r="M144" s="10" t="n">
        <v>0</v>
      </c>
      <c r="N144" s="10" t="n">
        <v>0</v>
      </c>
      <c r="O144" s="10" t="n">
        <v>1</v>
      </c>
      <c r="P144" s="10" t="s">
        <v>87</v>
      </c>
      <c r="Q144" s="10" t="s">
        <v>104</v>
      </c>
      <c r="R144" s="10" t="s">
        <v>67</v>
      </c>
      <c r="S144" s="10" t="s">
        <v>106</v>
      </c>
      <c r="T144" s="10" t="s">
        <v>69</v>
      </c>
      <c r="U144" s="10" t="n">
        <v>0</v>
      </c>
      <c r="V144" s="10" t="s">
        <v>70</v>
      </c>
      <c r="W144" s="10" t="s">
        <v>69</v>
      </c>
      <c r="X144" s="10" t="n">
        <v>2</v>
      </c>
      <c r="Y144" s="10" t="s">
        <v>1302</v>
      </c>
      <c r="Z144" s="10" t="s">
        <v>1303</v>
      </c>
      <c r="AA144" s="10" t="s">
        <v>110</v>
      </c>
      <c r="AB144" s="10" t="s">
        <v>70</v>
      </c>
      <c r="AC144" s="10" t="s">
        <v>94</v>
      </c>
      <c r="AD144" s="10" t="s">
        <v>95</v>
      </c>
      <c r="AE144" s="10" t="s">
        <v>62</v>
      </c>
      <c r="AF144" s="10" t="s">
        <v>77</v>
      </c>
      <c r="AG144" s="10" t="s">
        <v>126</v>
      </c>
      <c r="AH144" s="10" t="s">
        <v>1304</v>
      </c>
    </row>
    <row r="145" customFormat="false" ht="124.6" hidden="false" customHeight="false" outlineLevel="0" collapsed="false">
      <c r="A145" s="10" t="s">
        <v>1305</v>
      </c>
      <c r="B145" s="10" t="s">
        <v>1306</v>
      </c>
      <c r="C145" s="10" t="s">
        <v>364</v>
      </c>
      <c r="D145" s="10" t="s">
        <v>1307</v>
      </c>
      <c r="E145" s="10" t="s">
        <v>101</v>
      </c>
      <c r="F145" s="10" t="s">
        <v>61</v>
      </c>
      <c r="G145" s="10" t="s">
        <v>76</v>
      </c>
      <c r="H145" s="10" t="n">
        <v>1</v>
      </c>
      <c r="I145" s="10" t="s">
        <v>581</v>
      </c>
      <c r="J145" s="10" t="n">
        <v>2</v>
      </c>
      <c r="K145" s="10" t="s">
        <v>1308</v>
      </c>
      <c r="L145" s="10" t="n">
        <v>1</v>
      </c>
      <c r="M145" s="10" t="n">
        <v>0</v>
      </c>
      <c r="N145" s="10" t="n">
        <v>0</v>
      </c>
      <c r="O145" s="10" t="n">
        <v>1</v>
      </c>
      <c r="P145" s="10" t="s">
        <v>87</v>
      </c>
      <c r="Q145" s="10" t="s">
        <v>104</v>
      </c>
      <c r="R145" s="10" t="s">
        <v>105</v>
      </c>
      <c r="S145" s="10" t="s">
        <v>106</v>
      </c>
      <c r="T145" s="10" t="s">
        <v>121</v>
      </c>
      <c r="U145" s="10" t="n">
        <v>0</v>
      </c>
      <c r="V145" s="10" t="s">
        <v>70</v>
      </c>
      <c r="W145" s="10" t="s">
        <v>69</v>
      </c>
      <c r="X145" s="10" t="n">
        <v>2</v>
      </c>
      <c r="Y145" s="10" t="s">
        <v>1309</v>
      </c>
      <c r="Z145" s="10" t="s">
        <v>1310</v>
      </c>
      <c r="AA145" s="10" t="s">
        <v>72</v>
      </c>
      <c r="AB145" s="10" t="s">
        <v>70</v>
      </c>
      <c r="AC145" s="10" t="s">
        <v>94</v>
      </c>
      <c r="AD145" s="10" t="s">
        <v>95</v>
      </c>
      <c r="AE145" s="10" t="s">
        <v>62</v>
      </c>
      <c r="AF145" s="10" t="s">
        <v>1311</v>
      </c>
      <c r="AG145" s="10" t="s">
        <v>126</v>
      </c>
      <c r="AH145" s="10" t="s">
        <v>408</v>
      </c>
    </row>
    <row r="146" customFormat="false" ht="135.8" hidden="false" customHeight="false" outlineLevel="0" collapsed="false">
      <c r="A146" s="10" t="s">
        <v>1312</v>
      </c>
      <c r="B146" s="10" t="s">
        <v>1313</v>
      </c>
      <c r="C146" s="10" t="s">
        <v>99</v>
      </c>
      <c r="D146" s="10" t="s">
        <v>1314</v>
      </c>
      <c r="E146" s="10" t="s">
        <v>60</v>
      </c>
      <c r="F146" s="10" t="s">
        <v>84</v>
      </c>
      <c r="G146" s="10" t="s">
        <v>62</v>
      </c>
      <c r="H146" s="10" t="n">
        <v>1</v>
      </c>
      <c r="I146" s="10" t="s">
        <v>85</v>
      </c>
      <c r="J146" s="10" t="n">
        <v>2</v>
      </c>
      <c r="K146" s="10" t="s">
        <v>948</v>
      </c>
      <c r="L146" s="10" t="n">
        <v>3</v>
      </c>
      <c r="M146" s="10" t="n">
        <v>2</v>
      </c>
      <c r="N146" s="10" t="n">
        <v>3</v>
      </c>
      <c r="O146" s="10" t="n">
        <v>3</v>
      </c>
      <c r="P146" s="10" t="s">
        <v>1315</v>
      </c>
      <c r="Q146" s="10" t="s">
        <v>143</v>
      </c>
      <c r="R146" s="10" t="s">
        <v>89</v>
      </c>
      <c r="S146" s="10" t="s">
        <v>370</v>
      </c>
      <c r="T146" s="10" t="s">
        <v>91</v>
      </c>
      <c r="U146" s="10" t="n">
        <v>2</v>
      </c>
      <c r="V146" s="10" t="s">
        <v>784</v>
      </c>
      <c r="W146" s="10" t="s">
        <v>171</v>
      </c>
      <c r="X146" s="10" t="n">
        <v>2</v>
      </c>
      <c r="Y146" s="10" t="s">
        <v>1316</v>
      </c>
      <c r="Z146" s="10" t="s">
        <v>1317</v>
      </c>
      <c r="AA146" s="10" t="s">
        <v>73</v>
      </c>
      <c r="AB146" s="10" t="s">
        <v>72</v>
      </c>
      <c r="AC146" s="10" t="s">
        <v>94</v>
      </c>
      <c r="AD146" s="10" t="s">
        <v>95</v>
      </c>
      <c r="AE146" s="10" t="s">
        <v>62</v>
      </c>
      <c r="AF146" s="10" t="s">
        <v>77</v>
      </c>
      <c r="AG146" s="10" t="s">
        <v>126</v>
      </c>
      <c r="AH146" s="10" t="s">
        <v>1318</v>
      </c>
    </row>
    <row r="147" customFormat="false" ht="91" hidden="false" customHeight="false" outlineLevel="0" collapsed="false">
      <c r="A147" s="10" t="s">
        <v>1319</v>
      </c>
      <c r="B147" s="10" t="s">
        <v>1320</v>
      </c>
      <c r="C147" s="10" t="s">
        <v>215</v>
      </c>
      <c r="D147" s="10" t="s">
        <v>1321</v>
      </c>
      <c r="E147" s="10" t="s">
        <v>60</v>
      </c>
      <c r="F147" s="10" t="s">
        <v>84</v>
      </c>
      <c r="G147" s="10" t="s">
        <v>62</v>
      </c>
      <c r="H147" s="10" t="n">
        <v>2</v>
      </c>
      <c r="I147" s="10" t="s">
        <v>388</v>
      </c>
      <c r="J147" s="10" t="n">
        <v>3</v>
      </c>
      <c r="K147" s="10" t="s">
        <v>238</v>
      </c>
      <c r="L147" s="10" t="n">
        <v>3</v>
      </c>
      <c r="M147" s="10" t="n">
        <v>2</v>
      </c>
      <c r="N147" s="10" t="n">
        <v>3</v>
      </c>
      <c r="O147" s="10" t="n">
        <v>3</v>
      </c>
      <c r="P147" s="10" t="s">
        <v>746</v>
      </c>
      <c r="Q147" s="10" t="s">
        <v>143</v>
      </c>
      <c r="R147" s="10" t="s">
        <v>89</v>
      </c>
      <c r="S147" s="10" t="s">
        <v>370</v>
      </c>
      <c r="T147" s="10" t="s">
        <v>91</v>
      </c>
      <c r="U147" s="10" t="n">
        <v>2</v>
      </c>
      <c r="V147" s="10" t="s">
        <v>784</v>
      </c>
      <c r="W147" s="10" t="s">
        <v>171</v>
      </c>
      <c r="X147" s="10" t="n">
        <v>2</v>
      </c>
      <c r="Y147" s="10" t="s">
        <v>1322</v>
      </c>
      <c r="Z147" s="10" t="s">
        <v>1323</v>
      </c>
      <c r="AA147" s="10" t="s">
        <v>73</v>
      </c>
      <c r="AB147" s="10" t="s">
        <v>72</v>
      </c>
      <c r="AC147" s="10" t="s">
        <v>74</v>
      </c>
      <c r="AD147" s="10" t="s">
        <v>174</v>
      </c>
      <c r="AE147" s="10" t="s">
        <v>112</v>
      </c>
      <c r="AF147" s="10" t="s">
        <v>77</v>
      </c>
      <c r="AG147" s="10" t="s">
        <v>126</v>
      </c>
      <c r="AH147" s="10" t="s">
        <v>1069</v>
      </c>
    </row>
    <row r="148" customFormat="false" ht="135.8" hidden="false" customHeight="false" outlineLevel="0" collapsed="false">
      <c r="A148" s="10" t="s">
        <v>1324</v>
      </c>
      <c r="B148" s="10" t="s">
        <v>311</v>
      </c>
      <c r="C148" s="10" t="s">
        <v>138</v>
      </c>
      <c r="D148" s="10" t="s">
        <v>1325</v>
      </c>
      <c r="E148" s="10" t="s">
        <v>60</v>
      </c>
      <c r="F148" s="10" t="s">
        <v>1326</v>
      </c>
      <c r="G148" s="10" t="s">
        <v>62</v>
      </c>
      <c r="H148" s="10" t="n">
        <v>1</v>
      </c>
      <c r="I148" s="10" t="s">
        <v>1327</v>
      </c>
      <c r="J148" s="10" t="n">
        <v>3</v>
      </c>
      <c r="K148" s="10" t="s">
        <v>238</v>
      </c>
      <c r="L148" s="10" t="n">
        <v>3</v>
      </c>
      <c r="M148" s="10" t="n">
        <v>2</v>
      </c>
      <c r="N148" s="10" t="n">
        <v>3</v>
      </c>
      <c r="O148" s="10" t="n">
        <v>3</v>
      </c>
      <c r="P148" s="10" t="s">
        <v>239</v>
      </c>
      <c r="Q148" s="10" t="s">
        <v>143</v>
      </c>
      <c r="R148" s="10" t="s">
        <v>89</v>
      </c>
      <c r="S148" s="10" t="s">
        <v>370</v>
      </c>
      <c r="T148" s="10" t="s">
        <v>91</v>
      </c>
      <c r="U148" s="10" t="n">
        <v>2</v>
      </c>
      <c r="V148" s="10" t="s">
        <v>316</v>
      </c>
      <c r="W148" s="10" t="s">
        <v>108</v>
      </c>
      <c r="X148" s="10" t="n">
        <v>2</v>
      </c>
      <c r="Y148" s="10" t="s">
        <v>1328</v>
      </c>
      <c r="Z148" s="10" t="s">
        <v>1329</v>
      </c>
      <c r="AA148" s="10" t="s">
        <v>73</v>
      </c>
      <c r="AB148" s="10" t="s">
        <v>72</v>
      </c>
      <c r="AC148" s="10" t="s">
        <v>74</v>
      </c>
      <c r="AD148" s="10" t="s">
        <v>174</v>
      </c>
      <c r="AE148" s="10" t="s">
        <v>112</v>
      </c>
      <c r="AF148" s="10" t="s">
        <v>77</v>
      </c>
      <c r="AG148" s="10" t="s">
        <v>149</v>
      </c>
      <c r="AH148" s="10" t="s">
        <v>241</v>
      </c>
    </row>
    <row r="149" customFormat="false" ht="337.3" hidden="false" customHeight="false" outlineLevel="0" collapsed="false">
      <c r="A149" s="10" t="s">
        <v>1330</v>
      </c>
      <c r="B149" s="10" t="s">
        <v>1331</v>
      </c>
      <c r="C149" s="10" t="s">
        <v>226</v>
      </c>
      <c r="D149" s="10" t="s">
        <v>1332</v>
      </c>
      <c r="E149" s="10" t="s">
        <v>60</v>
      </c>
      <c r="F149" s="10" t="s">
        <v>1333</v>
      </c>
      <c r="G149" s="10" t="s">
        <v>62</v>
      </c>
      <c r="H149" s="10" t="n">
        <v>2</v>
      </c>
      <c r="I149" s="10" t="s">
        <v>1334</v>
      </c>
      <c r="J149" s="10" t="n">
        <v>3</v>
      </c>
      <c r="K149" s="10" t="s">
        <v>1335</v>
      </c>
      <c r="L149" s="10" t="n">
        <v>2</v>
      </c>
      <c r="M149" s="10" t="n">
        <v>1</v>
      </c>
      <c r="N149" s="10" t="n">
        <v>3</v>
      </c>
      <c r="O149" s="10" t="n">
        <v>2</v>
      </c>
      <c r="P149" s="10" t="s">
        <v>65</v>
      </c>
      <c r="Q149" s="10" t="s">
        <v>1336</v>
      </c>
      <c r="R149" s="10" t="s">
        <v>590</v>
      </c>
      <c r="S149" s="10" t="s">
        <v>1337</v>
      </c>
      <c r="T149" s="10" t="s">
        <v>1338</v>
      </c>
      <c r="U149" s="10" t="n">
        <v>2</v>
      </c>
      <c r="V149" s="10" t="s">
        <v>122</v>
      </c>
      <c r="W149" s="10" t="s">
        <v>171</v>
      </c>
      <c r="X149" s="10" t="n">
        <v>2</v>
      </c>
      <c r="Y149" s="10" t="s">
        <v>1339</v>
      </c>
      <c r="Z149" s="10" t="s">
        <v>1340</v>
      </c>
      <c r="AA149" s="10" t="s">
        <v>72</v>
      </c>
      <c r="AB149" s="10" t="s">
        <v>73</v>
      </c>
      <c r="AC149" s="10" t="s">
        <v>94</v>
      </c>
      <c r="AD149" s="10" t="s">
        <v>95</v>
      </c>
      <c r="AE149" s="10" t="s">
        <v>62</v>
      </c>
      <c r="AF149" s="10" t="s">
        <v>77</v>
      </c>
      <c r="AG149" s="10" t="s">
        <v>126</v>
      </c>
      <c r="AH149" s="10" t="s">
        <v>1341</v>
      </c>
    </row>
    <row r="150" customFormat="false" ht="91" hidden="false" customHeight="false" outlineLevel="0" collapsed="false">
      <c r="A150" s="10" t="s">
        <v>1342</v>
      </c>
      <c r="B150" s="10" t="s">
        <v>1343</v>
      </c>
      <c r="C150" s="10" t="s">
        <v>82</v>
      </c>
      <c r="D150" s="10" t="s">
        <v>1344</v>
      </c>
      <c r="E150" s="10" t="s">
        <v>101</v>
      </c>
      <c r="F150" s="10" t="s">
        <v>1345</v>
      </c>
      <c r="G150" s="10" t="s">
        <v>112</v>
      </c>
      <c r="H150" s="10" t="n">
        <v>1</v>
      </c>
      <c r="I150" s="10" t="s">
        <v>1346</v>
      </c>
      <c r="J150" s="10" t="n">
        <v>2</v>
      </c>
      <c r="K150" s="10" t="s">
        <v>404</v>
      </c>
      <c r="L150" s="10" t="n">
        <v>1</v>
      </c>
      <c r="M150" s="10" t="n">
        <v>0</v>
      </c>
      <c r="N150" s="10" t="n">
        <v>0</v>
      </c>
      <c r="O150" s="10" t="n">
        <v>1</v>
      </c>
      <c r="P150" s="10" t="s">
        <v>87</v>
      </c>
      <c r="Q150" s="10" t="s">
        <v>104</v>
      </c>
      <c r="R150" s="10" t="s">
        <v>105</v>
      </c>
      <c r="S150" s="10" t="s">
        <v>106</v>
      </c>
      <c r="T150" s="10" t="s">
        <v>121</v>
      </c>
      <c r="U150" s="10" t="n">
        <v>0</v>
      </c>
      <c r="V150" s="10" t="s">
        <v>70</v>
      </c>
      <c r="W150" s="10" t="s">
        <v>69</v>
      </c>
      <c r="X150" s="10" t="n">
        <v>2</v>
      </c>
      <c r="Y150" s="10" t="s">
        <v>1347</v>
      </c>
      <c r="Z150" s="10" t="s">
        <v>1348</v>
      </c>
      <c r="AA150" s="10" t="s">
        <v>72</v>
      </c>
      <c r="AB150" s="10" t="s">
        <v>70</v>
      </c>
      <c r="AC150" s="10" t="s">
        <v>94</v>
      </c>
      <c r="AD150" s="10" t="s">
        <v>95</v>
      </c>
      <c r="AE150" s="10" t="s">
        <v>62</v>
      </c>
      <c r="AF150" s="10" t="s">
        <v>77</v>
      </c>
      <c r="AG150" s="10" t="s">
        <v>126</v>
      </c>
      <c r="AH150" s="10" t="s">
        <v>408</v>
      </c>
    </row>
    <row r="151" customFormat="false" ht="46.25" hidden="false" customHeight="false" outlineLevel="0" collapsed="false">
      <c r="A151" s="10" t="s">
        <v>1349</v>
      </c>
      <c r="B151" s="10" t="s">
        <v>1350</v>
      </c>
      <c r="C151" s="10" t="s">
        <v>153</v>
      </c>
      <c r="D151" s="10" t="s">
        <v>1351</v>
      </c>
      <c r="E151" s="10" t="s">
        <v>60</v>
      </c>
      <c r="F151" s="10" t="s">
        <v>84</v>
      </c>
      <c r="G151" s="10" t="s">
        <v>112</v>
      </c>
      <c r="H151" s="10" t="n">
        <v>2</v>
      </c>
      <c r="I151" s="10" t="s">
        <v>1352</v>
      </c>
      <c r="J151" s="10" t="n">
        <v>2</v>
      </c>
      <c r="K151" s="10" t="s">
        <v>86</v>
      </c>
      <c r="L151" s="10" t="n">
        <v>2</v>
      </c>
      <c r="M151" s="10" t="n">
        <v>2</v>
      </c>
      <c r="N151" s="10" t="n">
        <v>2</v>
      </c>
      <c r="O151" s="10" t="n">
        <v>1</v>
      </c>
      <c r="P151" s="10" t="s">
        <v>239</v>
      </c>
      <c r="Q151" s="10" t="s">
        <v>88</v>
      </c>
      <c r="R151" s="10" t="s">
        <v>105</v>
      </c>
      <c r="S151" s="10" t="s">
        <v>90</v>
      </c>
      <c r="T151" s="10" t="s">
        <v>121</v>
      </c>
      <c r="U151" s="10" t="n">
        <v>2</v>
      </c>
      <c r="V151" s="10" t="s">
        <v>122</v>
      </c>
      <c r="W151" s="10" t="s">
        <v>171</v>
      </c>
      <c r="X151" s="10" t="n">
        <v>2</v>
      </c>
      <c r="Y151" s="10" t="s">
        <v>1353</v>
      </c>
      <c r="Z151" s="10" t="s">
        <v>1354</v>
      </c>
      <c r="AA151" s="10" t="s">
        <v>73</v>
      </c>
      <c r="AB151" s="10" t="s">
        <v>72</v>
      </c>
      <c r="AC151" s="10" t="s">
        <v>74</v>
      </c>
      <c r="AD151" s="10" t="s">
        <v>961</v>
      </c>
      <c r="AE151" s="10" t="s">
        <v>112</v>
      </c>
      <c r="AF151" s="10" t="s">
        <v>77</v>
      </c>
      <c r="AG151" s="10" t="s">
        <v>126</v>
      </c>
      <c r="AH151" s="10" t="s">
        <v>1355</v>
      </c>
    </row>
    <row r="152" customFormat="false" ht="180.55" hidden="false" customHeight="false" outlineLevel="0" collapsed="false">
      <c r="A152" s="10" t="s">
        <v>1356</v>
      </c>
      <c r="B152" s="10" t="s">
        <v>439</v>
      </c>
      <c r="C152" s="10" t="s">
        <v>215</v>
      </c>
      <c r="D152" s="10" t="s">
        <v>1357</v>
      </c>
      <c r="E152" s="10" t="s">
        <v>101</v>
      </c>
      <c r="F152" s="10" t="s">
        <v>61</v>
      </c>
      <c r="G152" s="10" t="s">
        <v>112</v>
      </c>
      <c r="H152" s="10" t="n">
        <v>2</v>
      </c>
      <c r="I152" s="10" t="s">
        <v>1358</v>
      </c>
      <c r="J152" s="10" t="n">
        <v>2</v>
      </c>
      <c r="K152" s="10" t="s">
        <v>189</v>
      </c>
      <c r="L152" s="10" t="n">
        <v>1</v>
      </c>
      <c r="M152" s="10" t="n">
        <v>1</v>
      </c>
      <c r="N152" s="10" t="n">
        <v>0</v>
      </c>
      <c r="O152" s="10" t="n">
        <v>1</v>
      </c>
      <c r="P152" s="10" t="s">
        <v>65</v>
      </c>
      <c r="Q152" s="10" t="s">
        <v>69</v>
      </c>
      <c r="R152" s="10" t="s">
        <v>105</v>
      </c>
      <c r="S152" s="10" t="s">
        <v>69</v>
      </c>
      <c r="T152" s="10" t="s">
        <v>1359</v>
      </c>
      <c r="U152" s="10" t="n">
        <v>0</v>
      </c>
      <c r="V152" s="10" t="s">
        <v>70</v>
      </c>
      <c r="W152" s="10" t="s">
        <v>69</v>
      </c>
      <c r="X152" s="10" t="n">
        <v>1</v>
      </c>
      <c r="Y152" s="10" t="s">
        <v>1360</v>
      </c>
      <c r="Z152" s="10" t="s">
        <v>69</v>
      </c>
      <c r="AA152" s="10" t="s">
        <v>110</v>
      </c>
      <c r="AB152" s="10" t="s">
        <v>72</v>
      </c>
      <c r="AC152" s="10" t="s">
        <v>74</v>
      </c>
      <c r="AD152" s="10" t="s">
        <v>251</v>
      </c>
      <c r="AE152" s="10" t="s">
        <v>112</v>
      </c>
      <c r="AF152" s="10" t="s">
        <v>77</v>
      </c>
      <c r="AG152" s="10" t="s">
        <v>149</v>
      </c>
      <c r="AH152" s="10" t="s">
        <v>904</v>
      </c>
    </row>
    <row r="153" customFormat="false" ht="46.25" hidden="false" customHeight="false" outlineLevel="0" collapsed="false">
      <c r="A153" s="10" t="s">
        <v>1361</v>
      </c>
      <c r="B153" s="10" t="s">
        <v>439</v>
      </c>
      <c r="C153" s="10" t="s">
        <v>312</v>
      </c>
      <c r="D153" s="10" t="s">
        <v>1362</v>
      </c>
      <c r="E153" s="10" t="s">
        <v>101</v>
      </c>
      <c r="F153" s="10" t="s">
        <v>84</v>
      </c>
      <c r="G153" s="10" t="s">
        <v>112</v>
      </c>
      <c r="H153" s="10" t="n">
        <v>1</v>
      </c>
      <c r="I153" s="10" t="s">
        <v>85</v>
      </c>
      <c r="J153" s="10" t="n">
        <v>1</v>
      </c>
      <c r="K153" s="10" t="s">
        <v>1363</v>
      </c>
      <c r="L153" s="10" t="n">
        <v>2</v>
      </c>
      <c r="M153" s="10" t="n">
        <v>0</v>
      </c>
      <c r="N153" s="10" t="n">
        <v>3</v>
      </c>
      <c r="O153" s="10" t="n">
        <v>1</v>
      </c>
      <c r="P153" s="10" t="s">
        <v>87</v>
      </c>
      <c r="Q153" s="10" t="s">
        <v>747</v>
      </c>
      <c r="R153" s="10" t="s">
        <v>105</v>
      </c>
      <c r="S153" s="10" t="s">
        <v>748</v>
      </c>
      <c r="T153" s="10" t="s">
        <v>121</v>
      </c>
      <c r="U153" s="10" t="n">
        <v>0</v>
      </c>
      <c r="V153" s="10" t="s">
        <v>70</v>
      </c>
      <c r="W153" s="10" t="s">
        <v>171</v>
      </c>
      <c r="X153" s="10" t="n">
        <v>2</v>
      </c>
      <c r="Y153" s="10" t="s">
        <v>1364</v>
      </c>
      <c r="Z153" s="10" t="s">
        <v>1365</v>
      </c>
      <c r="AA153" s="10" t="s">
        <v>73</v>
      </c>
      <c r="AB153" s="10" t="s">
        <v>70</v>
      </c>
      <c r="AC153" s="10" t="s">
        <v>94</v>
      </c>
      <c r="AD153" s="10" t="s">
        <v>95</v>
      </c>
      <c r="AE153" s="10" t="s">
        <v>62</v>
      </c>
      <c r="AF153" s="10" t="s">
        <v>77</v>
      </c>
      <c r="AG153" s="10" t="s">
        <v>113</v>
      </c>
      <c r="AH153" s="10" t="s">
        <v>1366</v>
      </c>
    </row>
    <row r="154" customFormat="false" ht="46.25" hidden="false" customHeight="false" outlineLevel="0" collapsed="false">
      <c r="A154" s="10" t="s">
        <v>1367</v>
      </c>
      <c r="B154" s="10" t="s">
        <v>1368</v>
      </c>
      <c r="C154" s="10" t="s">
        <v>364</v>
      </c>
      <c r="D154" s="10" t="s">
        <v>1369</v>
      </c>
      <c r="E154" s="10" t="s">
        <v>60</v>
      </c>
      <c r="F154" s="10" t="s">
        <v>61</v>
      </c>
      <c r="G154" s="10" t="s">
        <v>62</v>
      </c>
      <c r="H154" s="10" t="n">
        <v>2</v>
      </c>
      <c r="I154" s="10" t="s">
        <v>1370</v>
      </c>
      <c r="J154" s="10" t="n">
        <v>3</v>
      </c>
      <c r="K154" s="10" t="s">
        <v>238</v>
      </c>
      <c r="L154" s="10" t="n">
        <v>3</v>
      </c>
      <c r="M154" s="10" t="n">
        <v>2</v>
      </c>
      <c r="N154" s="10" t="n">
        <v>3</v>
      </c>
      <c r="O154" s="10" t="n">
        <v>3</v>
      </c>
      <c r="P154" s="10" t="s">
        <v>1315</v>
      </c>
      <c r="Q154" s="10" t="s">
        <v>169</v>
      </c>
      <c r="R154" s="10" t="s">
        <v>1259</v>
      </c>
      <c r="S154" s="10" t="s">
        <v>170</v>
      </c>
      <c r="T154" s="10" t="s">
        <v>146</v>
      </c>
      <c r="U154" s="10" t="n">
        <v>0</v>
      </c>
      <c r="V154" s="10" t="s">
        <v>70</v>
      </c>
      <c r="W154" s="10" t="s">
        <v>69</v>
      </c>
      <c r="X154" s="10" t="n">
        <v>2</v>
      </c>
      <c r="Y154" s="10" t="s">
        <v>1371</v>
      </c>
      <c r="Z154" s="10" t="s">
        <v>1372</v>
      </c>
      <c r="AA154" s="10" t="s">
        <v>73</v>
      </c>
      <c r="AB154" s="10" t="s">
        <v>72</v>
      </c>
      <c r="AC154" s="10" t="s">
        <v>74</v>
      </c>
      <c r="AD154" s="10" t="s">
        <v>174</v>
      </c>
      <c r="AE154" s="10" t="s">
        <v>112</v>
      </c>
      <c r="AF154" s="10" t="s">
        <v>77</v>
      </c>
      <c r="AG154" s="10" t="s">
        <v>162</v>
      </c>
      <c r="AH154" s="10" t="s">
        <v>1069</v>
      </c>
    </row>
    <row r="155" customFormat="false" ht="57.45" hidden="false" customHeight="false" outlineLevel="0" collapsed="false">
      <c r="A155" s="10" t="s">
        <v>1373</v>
      </c>
      <c r="B155" s="10" t="s">
        <v>1374</v>
      </c>
      <c r="C155" s="10" t="s">
        <v>1375</v>
      </c>
      <c r="D155" s="10" t="s">
        <v>1376</v>
      </c>
      <c r="E155" s="10" t="s">
        <v>101</v>
      </c>
      <c r="F155" s="10" t="s">
        <v>1377</v>
      </c>
      <c r="G155" s="10" t="s">
        <v>112</v>
      </c>
      <c r="H155" s="10" t="n">
        <v>3</v>
      </c>
      <c r="I155" s="10" t="s">
        <v>1378</v>
      </c>
      <c r="J155" s="10" t="n">
        <v>2</v>
      </c>
      <c r="K155" s="10" t="s">
        <v>733</v>
      </c>
      <c r="L155" s="10" t="n">
        <v>1</v>
      </c>
      <c r="M155" s="10" t="n">
        <v>0</v>
      </c>
      <c r="N155" s="10" t="n">
        <v>1</v>
      </c>
      <c r="O155" s="10" t="n">
        <v>1</v>
      </c>
      <c r="P155" s="10" t="s">
        <v>87</v>
      </c>
      <c r="Q155" s="10" t="s">
        <v>257</v>
      </c>
      <c r="R155" s="10" t="s">
        <v>105</v>
      </c>
      <c r="S155" s="10" t="s">
        <v>1379</v>
      </c>
      <c r="T155" s="10" t="s">
        <v>1380</v>
      </c>
      <c r="U155" s="10" t="n">
        <v>0</v>
      </c>
      <c r="V155" s="10" t="s">
        <v>70</v>
      </c>
      <c r="W155" s="10" t="s">
        <v>69</v>
      </c>
      <c r="X155" s="10" t="n">
        <v>2</v>
      </c>
      <c r="Y155" s="10" t="s">
        <v>1381</v>
      </c>
      <c r="Z155" s="10" t="s">
        <v>1382</v>
      </c>
      <c r="AA155" s="10" t="s">
        <v>110</v>
      </c>
      <c r="AB155" s="10" t="s">
        <v>72</v>
      </c>
      <c r="AC155" s="10" t="s">
        <v>94</v>
      </c>
      <c r="AD155" s="10" t="s">
        <v>95</v>
      </c>
      <c r="AE155" s="10" t="s">
        <v>62</v>
      </c>
      <c r="AF155" s="10" t="s">
        <v>77</v>
      </c>
      <c r="AG155" s="10" t="s">
        <v>126</v>
      </c>
      <c r="AH155" s="10" t="s">
        <v>885</v>
      </c>
    </row>
    <row r="156" customFormat="false" ht="46.25" hidden="false" customHeight="false" outlineLevel="0" collapsed="false">
      <c r="A156" s="10" t="s">
        <v>1383</v>
      </c>
      <c r="B156" s="10" t="s">
        <v>1384</v>
      </c>
      <c r="C156" s="10" t="s">
        <v>711</v>
      </c>
      <c r="D156" s="10" t="s">
        <v>1385</v>
      </c>
      <c r="E156" s="10" t="s">
        <v>101</v>
      </c>
      <c r="F156" s="10" t="s">
        <v>1386</v>
      </c>
      <c r="G156" s="10" t="s">
        <v>76</v>
      </c>
      <c r="H156" s="10" t="n">
        <v>2</v>
      </c>
      <c r="I156" s="10" t="s">
        <v>1387</v>
      </c>
      <c r="J156" s="10" t="n">
        <v>2</v>
      </c>
      <c r="K156" s="10" t="s">
        <v>733</v>
      </c>
      <c r="L156" s="10" t="n">
        <v>2</v>
      </c>
      <c r="M156" s="10" t="n">
        <v>1</v>
      </c>
      <c r="N156" s="10" t="n">
        <v>3</v>
      </c>
      <c r="O156" s="10" t="n">
        <v>1</v>
      </c>
      <c r="P156" s="10" t="s">
        <v>65</v>
      </c>
      <c r="Q156" s="10" t="s">
        <v>1388</v>
      </c>
      <c r="R156" s="10" t="s">
        <v>105</v>
      </c>
      <c r="S156" s="10" t="s">
        <v>1389</v>
      </c>
      <c r="T156" s="10" t="s">
        <v>1390</v>
      </c>
      <c r="U156" s="10" t="n">
        <v>0</v>
      </c>
      <c r="V156" s="10" t="s">
        <v>70</v>
      </c>
      <c r="W156" s="10" t="s">
        <v>69</v>
      </c>
      <c r="X156" s="10" t="n">
        <v>2</v>
      </c>
      <c r="Y156" s="10" t="s">
        <v>1391</v>
      </c>
      <c r="Z156" s="10" t="s">
        <v>1392</v>
      </c>
      <c r="AA156" s="10" t="s">
        <v>110</v>
      </c>
      <c r="AB156" s="10" t="s">
        <v>72</v>
      </c>
      <c r="AC156" s="10" t="s">
        <v>74</v>
      </c>
      <c r="AD156" s="10" t="s">
        <v>251</v>
      </c>
      <c r="AE156" s="10" t="s">
        <v>112</v>
      </c>
      <c r="AF156" s="10" t="s">
        <v>125</v>
      </c>
      <c r="AG156" s="10" t="s">
        <v>287</v>
      </c>
      <c r="AH156" s="10" t="s">
        <v>484</v>
      </c>
    </row>
    <row r="158" customFormat="false" ht="15" hidden="false" customHeight="false" outlineLevel="0" collapsed="false">
      <c r="A158" s="11" t="s">
        <v>1393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110"/>
  </cols>
  <sheetData>
    <row r="1" customFormat="false" ht="15" hidden="false" customHeight="false" outlineLevel="0" collapsed="false">
      <c r="A1" s="12" t="s">
        <v>1394</v>
      </c>
    </row>
    <row r="2" customFormat="false" ht="15" hidden="false" customHeight="false" outlineLevel="0" collapsed="false">
      <c r="A2" s="13" t="s">
        <v>1395</v>
      </c>
      <c r="B2" s="13" t="s">
        <v>1396</v>
      </c>
      <c r="C2" s="13" t="s">
        <v>1397</v>
      </c>
      <c r="D2" s="13" t="s">
        <v>1398</v>
      </c>
    </row>
    <row r="3" customFormat="false" ht="57.45" hidden="false" customHeight="false" outlineLevel="0" collapsed="false">
      <c r="A3" s="14" t="s">
        <v>101</v>
      </c>
      <c r="B3" s="14" t="n">
        <v>103</v>
      </c>
      <c r="C3" s="15" t="n">
        <f aca="false">B3/155</f>
        <v>0.664516129032258</v>
      </c>
      <c r="D3" s="10" t="s">
        <v>1399</v>
      </c>
    </row>
    <row r="4" customFormat="false" ht="23.85" hidden="false" customHeight="false" outlineLevel="0" collapsed="false">
      <c r="A4" s="14" t="s">
        <v>60</v>
      </c>
      <c r="B4" s="14" t="n">
        <v>45</v>
      </c>
      <c r="C4" s="15" t="n">
        <f aca="false">B4/155</f>
        <v>0.290322580645161</v>
      </c>
      <c r="D4" s="10" t="s">
        <v>1400</v>
      </c>
    </row>
    <row r="5" customFormat="false" ht="15" hidden="false" customHeight="false" outlineLevel="0" collapsed="false">
      <c r="A5" s="14" t="s">
        <v>432</v>
      </c>
      <c r="B5" s="14" t="n">
        <v>4</v>
      </c>
      <c r="C5" s="15" t="n">
        <f aca="false">B5/155</f>
        <v>0.0258064516129032</v>
      </c>
      <c r="D5" s="10" t="s">
        <v>1401</v>
      </c>
    </row>
    <row r="6" customFormat="false" ht="15" hidden="false" customHeight="false" outlineLevel="0" collapsed="false">
      <c r="A6" s="14" t="s">
        <v>412</v>
      </c>
      <c r="B6" s="14" t="n">
        <v>3</v>
      </c>
      <c r="C6" s="15" t="n">
        <f aca="false">B6/155</f>
        <v>0.0193548387096774</v>
      </c>
      <c r="D6" s="10" t="s">
        <v>1402</v>
      </c>
    </row>
    <row r="7" customFormat="false" ht="15" hidden="false" customHeight="false" outlineLevel="0" collapsed="false">
      <c r="A7" s="16" t="s">
        <v>1403</v>
      </c>
      <c r="B7" s="16" t="n">
        <f aca="false">SUM(B3:B6)</f>
        <v>155</v>
      </c>
    </row>
    <row r="9" customFormat="false" ht="15" hidden="false" customHeight="false" outlineLevel="0" collapsed="false">
      <c r="A9" s="12" t="s">
        <v>1404</v>
      </c>
    </row>
    <row r="10" customFormat="false" ht="15" hidden="false" customHeight="false" outlineLevel="0" collapsed="false">
      <c r="A10" s="13" t="s">
        <v>1395</v>
      </c>
      <c r="B10" s="13" t="s">
        <v>1396</v>
      </c>
      <c r="C10" s="13" t="s">
        <v>1397</v>
      </c>
      <c r="D10" s="13" t="s">
        <v>1398</v>
      </c>
    </row>
    <row r="11" customFormat="false" ht="35.05" hidden="false" customHeight="false" outlineLevel="0" collapsed="false">
      <c r="A11" s="14" t="s">
        <v>62</v>
      </c>
      <c r="B11" s="14" t="n">
        <v>61</v>
      </c>
      <c r="C11" s="15" t="n">
        <f aca="false">B11/155</f>
        <v>0.393548387096774</v>
      </c>
      <c r="D11" s="10" t="s">
        <v>1405</v>
      </c>
    </row>
    <row r="12" customFormat="false" ht="23.85" hidden="false" customHeight="false" outlineLevel="0" collapsed="false">
      <c r="A12" s="14" t="s">
        <v>112</v>
      </c>
      <c r="B12" s="14" t="n">
        <v>46</v>
      </c>
      <c r="C12" s="15" t="n">
        <f aca="false">B12/155</f>
        <v>0.296774193548387</v>
      </c>
      <c r="D12" s="10" t="s">
        <v>1406</v>
      </c>
    </row>
    <row r="13" customFormat="false" ht="23.85" hidden="false" customHeight="false" outlineLevel="0" collapsed="false">
      <c r="A13" s="14" t="s">
        <v>76</v>
      </c>
      <c r="B13" s="14" t="n">
        <v>46</v>
      </c>
      <c r="C13" s="15" t="n">
        <f aca="false">B13/155</f>
        <v>0.296774193548387</v>
      </c>
      <c r="D13" s="10" t="s">
        <v>1407</v>
      </c>
    </row>
    <row r="14" customFormat="false" ht="15" hidden="false" customHeight="false" outlineLevel="0" collapsed="false">
      <c r="A14" s="14" t="s">
        <v>69</v>
      </c>
      <c r="B14" s="14" t="n">
        <v>2</v>
      </c>
      <c r="C14" s="15" t="n">
        <f aca="false">B14/155</f>
        <v>0.0129032258064516</v>
      </c>
      <c r="D14" s="10" t="s">
        <v>1408</v>
      </c>
    </row>
    <row r="15" customFormat="false" ht="15" hidden="false" customHeight="false" outlineLevel="0" collapsed="false">
      <c r="A15" s="16" t="s">
        <v>1403</v>
      </c>
      <c r="B15" s="16" t="n">
        <f aca="false">SUM(B11:B14)</f>
        <v>155</v>
      </c>
    </row>
    <row r="17" customFormat="false" ht="15" hidden="false" customHeight="false" outlineLevel="0" collapsed="false">
      <c r="A17" s="12" t="s">
        <v>1409</v>
      </c>
    </row>
    <row r="18" customFormat="false" ht="15" hidden="false" customHeight="false" outlineLevel="0" collapsed="false">
      <c r="A18" s="13" t="s">
        <v>1395</v>
      </c>
      <c r="B18" s="13" t="s">
        <v>1396</v>
      </c>
      <c r="C18" s="13" t="s">
        <v>1397</v>
      </c>
      <c r="D18" s="13" t="s">
        <v>1398</v>
      </c>
    </row>
    <row r="19" customFormat="false" ht="35.05" hidden="false" customHeight="false" outlineLevel="0" collapsed="false">
      <c r="A19" s="14" t="s">
        <v>110</v>
      </c>
      <c r="B19" s="14" t="n">
        <v>70</v>
      </c>
      <c r="C19" s="15" t="n">
        <f aca="false">B19/155</f>
        <v>0.451612903225806</v>
      </c>
      <c r="D19" s="10" t="s">
        <v>1410</v>
      </c>
    </row>
    <row r="20" customFormat="false" ht="35.05" hidden="false" customHeight="false" outlineLevel="0" collapsed="false">
      <c r="A20" s="14" t="s">
        <v>72</v>
      </c>
      <c r="B20" s="14" t="n">
        <v>65</v>
      </c>
      <c r="C20" s="15" t="n">
        <f aca="false">B20/155</f>
        <v>0.419354838709677</v>
      </c>
      <c r="D20" s="10" t="s">
        <v>1411</v>
      </c>
    </row>
    <row r="21" customFormat="false" ht="15" hidden="false" customHeight="false" outlineLevel="0" collapsed="false">
      <c r="A21" s="14" t="s">
        <v>73</v>
      </c>
      <c r="B21" s="14" t="n">
        <v>20</v>
      </c>
      <c r="C21" s="15" t="n">
        <f aca="false">B21/155</f>
        <v>0.129032258064516</v>
      </c>
      <c r="D21" s="10" t="s">
        <v>1412</v>
      </c>
    </row>
    <row r="22" customFormat="false" ht="15" hidden="false" customHeight="false" outlineLevel="0" collapsed="false">
      <c r="A22" s="16" t="s">
        <v>1403</v>
      </c>
      <c r="B22" s="16" t="n">
        <f aca="false">SUM(B19:B21)</f>
        <v>155</v>
      </c>
    </row>
    <row r="24" customFormat="false" ht="15" hidden="false" customHeight="false" outlineLevel="0" collapsed="false">
      <c r="A24" s="12" t="s">
        <v>1413</v>
      </c>
    </row>
    <row r="25" customFormat="false" ht="15" hidden="false" customHeight="false" outlineLevel="0" collapsed="false">
      <c r="A25" s="13" t="s">
        <v>1395</v>
      </c>
      <c r="B25" s="13" t="s">
        <v>1396</v>
      </c>
      <c r="C25" s="13" t="s">
        <v>1397</v>
      </c>
      <c r="D25" s="13" t="s">
        <v>1398</v>
      </c>
    </row>
    <row r="26" customFormat="false" ht="35.05" hidden="false" customHeight="false" outlineLevel="0" collapsed="false">
      <c r="A26" s="14" t="s">
        <v>72</v>
      </c>
      <c r="B26" s="14" t="n">
        <v>66</v>
      </c>
      <c r="C26" s="15" t="n">
        <f aca="false">B26/155</f>
        <v>0.425806451612903</v>
      </c>
      <c r="D26" s="10" t="s">
        <v>1414</v>
      </c>
    </row>
    <row r="27" customFormat="false" ht="23.85" hidden="false" customHeight="false" outlineLevel="0" collapsed="false">
      <c r="A27" s="14" t="s">
        <v>70</v>
      </c>
      <c r="B27" s="14" t="n">
        <v>48</v>
      </c>
      <c r="C27" s="15" t="n">
        <f aca="false">B27/155</f>
        <v>0.309677419354839</v>
      </c>
      <c r="D27" s="10" t="s">
        <v>1415</v>
      </c>
    </row>
    <row r="28" customFormat="false" ht="23.85" hidden="false" customHeight="false" outlineLevel="0" collapsed="false">
      <c r="A28" s="14" t="s">
        <v>73</v>
      </c>
      <c r="B28" s="14" t="n">
        <v>27</v>
      </c>
      <c r="C28" s="15" t="n">
        <f aca="false">B28/155</f>
        <v>0.174193548387097</v>
      </c>
      <c r="D28" s="10" t="s">
        <v>1416</v>
      </c>
    </row>
    <row r="29" customFormat="false" ht="15" hidden="false" customHeight="false" outlineLevel="0" collapsed="false">
      <c r="A29" s="14" t="s">
        <v>110</v>
      </c>
      <c r="B29" s="14" t="n">
        <v>14</v>
      </c>
      <c r="C29" s="15" t="n">
        <f aca="false">B29/155</f>
        <v>0.0903225806451613</v>
      </c>
      <c r="D29" s="10" t="s">
        <v>1417</v>
      </c>
    </row>
    <row r="30" customFormat="false" ht="15" hidden="false" customHeight="false" outlineLevel="0" collapsed="false">
      <c r="A30" s="16" t="s">
        <v>1403</v>
      </c>
      <c r="B30" s="16" t="n">
        <f aca="false">SUM(B26:B29)</f>
        <v>155</v>
      </c>
    </row>
    <row r="32" customFormat="false" ht="15" hidden="false" customHeight="false" outlineLevel="0" collapsed="false">
      <c r="A32" s="12" t="s">
        <v>1418</v>
      </c>
    </row>
    <row r="33" customFormat="false" ht="15" hidden="false" customHeight="false" outlineLevel="0" collapsed="false">
      <c r="A33" s="13" t="s">
        <v>1395</v>
      </c>
      <c r="B33" s="13" t="s">
        <v>1396</v>
      </c>
      <c r="C33" s="13" t="s">
        <v>1397</v>
      </c>
      <c r="D33" s="13" t="s">
        <v>1398</v>
      </c>
    </row>
    <row r="34" customFormat="false" ht="68.65" hidden="false" customHeight="false" outlineLevel="0" collapsed="false">
      <c r="A34" s="14" t="s">
        <v>77</v>
      </c>
      <c r="B34" s="14" t="n">
        <v>128</v>
      </c>
      <c r="C34" s="15" t="n">
        <f aca="false">B34/155</f>
        <v>0.825806451612903</v>
      </c>
      <c r="D34" s="10" t="s">
        <v>1419</v>
      </c>
    </row>
    <row r="35" customFormat="false" ht="15" hidden="false" customHeight="false" outlineLevel="0" collapsed="false">
      <c r="A35" s="14" t="s">
        <v>382</v>
      </c>
      <c r="B35" s="14" t="n">
        <v>12</v>
      </c>
      <c r="C35" s="15" t="n">
        <f aca="false">B35/155</f>
        <v>0.0774193548387097</v>
      </c>
      <c r="D35" s="10" t="s">
        <v>1420</v>
      </c>
    </row>
    <row r="36" customFormat="false" ht="15" hidden="false" customHeight="false" outlineLevel="0" collapsed="false">
      <c r="A36" s="14" t="s">
        <v>125</v>
      </c>
      <c r="B36" s="14" t="n">
        <v>6</v>
      </c>
      <c r="C36" s="15" t="n">
        <f aca="false">B36/155</f>
        <v>0.0387096774193548</v>
      </c>
      <c r="D36" s="10" t="s">
        <v>1421</v>
      </c>
    </row>
    <row r="37" customFormat="false" ht="15" hidden="false" customHeight="false" outlineLevel="0" collapsed="false">
      <c r="A37" s="14" t="s">
        <v>277</v>
      </c>
      <c r="B37" s="14" t="n">
        <v>6</v>
      </c>
      <c r="C37" s="15" t="n">
        <f aca="false">B37/155</f>
        <v>0.0387096774193548</v>
      </c>
      <c r="D37" s="10" t="s">
        <v>1422</v>
      </c>
    </row>
    <row r="38" customFormat="false" ht="15" hidden="false" customHeight="false" outlineLevel="0" collapsed="false">
      <c r="A38" s="14" t="s">
        <v>1311</v>
      </c>
      <c r="B38" s="14" t="n">
        <v>5</v>
      </c>
      <c r="C38" s="15" t="n">
        <f aca="false">B38/155</f>
        <v>0.032258064516129</v>
      </c>
      <c r="D38" s="10" t="s">
        <v>1423</v>
      </c>
    </row>
    <row r="39" customFormat="false" ht="15" hidden="false" customHeight="false" outlineLevel="0" collapsed="false">
      <c r="A39" s="14" t="s">
        <v>647</v>
      </c>
      <c r="B39" s="14" t="n">
        <v>3</v>
      </c>
      <c r="C39" s="15" t="n">
        <f aca="false">B39/155</f>
        <v>0.0193548387096774</v>
      </c>
      <c r="D39" s="10" t="s">
        <v>1424</v>
      </c>
    </row>
    <row r="40" customFormat="false" ht="15" hidden="false" customHeight="false" outlineLevel="0" collapsed="false">
      <c r="A40" s="14" t="s">
        <v>495</v>
      </c>
      <c r="B40" s="14" t="n">
        <v>2</v>
      </c>
      <c r="C40" s="15" t="n">
        <f aca="false">B40/155</f>
        <v>0.0129032258064516</v>
      </c>
      <c r="D40" s="10" t="s">
        <v>1425</v>
      </c>
    </row>
    <row r="41" customFormat="false" ht="15" hidden="false" customHeight="false" outlineLevel="0" collapsed="false">
      <c r="A41" s="17" t="s">
        <v>1426</v>
      </c>
    </row>
    <row r="43" customFormat="false" ht="15" hidden="false" customHeight="false" outlineLevel="0" collapsed="false">
      <c r="A43" s="12" t="s">
        <v>1427</v>
      </c>
    </row>
    <row r="44" customFormat="false" ht="15" hidden="false" customHeight="false" outlineLevel="0" collapsed="false">
      <c r="A44" s="13" t="s">
        <v>1395</v>
      </c>
      <c r="B44" s="13" t="s">
        <v>1396</v>
      </c>
      <c r="C44" s="13" t="s">
        <v>1397</v>
      </c>
      <c r="D44" s="13" t="s">
        <v>1398</v>
      </c>
    </row>
    <row r="45" customFormat="false" ht="57.45" hidden="false" customHeight="false" outlineLevel="0" collapsed="false">
      <c r="A45" s="14" t="s">
        <v>126</v>
      </c>
      <c r="B45" s="14" t="n">
        <v>96</v>
      </c>
      <c r="C45" s="15" t="n">
        <f aca="false">B45/155</f>
        <v>0.619354838709677</v>
      </c>
      <c r="D45" s="10" t="s">
        <v>1428</v>
      </c>
    </row>
    <row r="46" customFormat="false" ht="23.85" hidden="false" customHeight="false" outlineLevel="0" collapsed="false">
      <c r="A46" s="14" t="s">
        <v>149</v>
      </c>
      <c r="B46" s="14" t="n">
        <v>30</v>
      </c>
      <c r="C46" s="15" t="n">
        <f aca="false">B46/155</f>
        <v>0.193548387096774</v>
      </c>
      <c r="D46" s="10" t="s">
        <v>1429</v>
      </c>
    </row>
    <row r="47" customFormat="false" ht="23.85" hidden="false" customHeight="false" outlineLevel="0" collapsed="false">
      <c r="A47" s="14" t="s">
        <v>162</v>
      </c>
      <c r="B47" s="14" t="n">
        <v>26</v>
      </c>
      <c r="C47" s="15" t="n">
        <f aca="false">B47/155</f>
        <v>0.167741935483871</v>
      </c>
      <c r="D47" s="10" t="s">
        <v>1430</v>
      </c>
    </row>
    <row r="48" customFormat="false" ht="15" hidden="false" customHeight="false" outlineLevel="0" collapsed="false">
      <c r="A48" s="14" t="s">
        <v>113</v>
      </c>
      <c r="B48" s="14" t="n">
        <v>14</v>
      </c>
      <c r="C48" s="15" t="n">
        <f aca="false">B48/155</f>
        <v>0.0903225806451613</v>
      </c>
      <c r="D48" s="10" t="s">
        <v>1431</v>
      </c>
    </row>
    <row r="49" customFormat="false" ht="15" hidden="false" customHeight="false" outlineLevel="0" collapsed="false">
      <c r="A49" s="14" t="s">
        <v>295</v>
      </c>
      <c r="B49" s="14" t="n">
        <v>7</v>
      </c>
      <c r="C49" s="15" t="n">
        <f aca="false">B49/155</f>
        <v>0.0451612903225806</v>
      </c>
      <c r="D49" s="10" t="s">
        <v>1432</v>
      </c>
    </row>
    <row r="50" customFormat="false" ht="15" hidden="false" customHeight="false" outlineLevel="0" collapsed="false">
      <c r="A50" s="14" t="s">
        <v>726</v>
      </c>
      <c r="B50" s="14" t="n">
        <v>6</v>
      </c>
      <c r="C50" s="15" t="n">
        <f aca="false">B50/155</f>
        <v>0.0387096774193548</v>
      </c>
      <c r="D50" s="10" t="s">
        <v>1433</v>
      </c>
    </row>
    <row r="51" customFormat="false" ht="15" hidden="false" customHeight="false" outlineLevel="0" collapsed="false">
      <c r="A51" s="14" t="s">
        <v>648</v>
      </c>
      <c r="B51" s="14" t="n">
        <v>4</v>
      </c>
      <c r="C51" s="15" t="n">
        <f aca="false">B51/155</f>
        <v>0.0258064516129032</v>
      </c>
      <c r="D51" s="10" t="s">
        <v>1434</v>
      </c>
    </row>
    <row r="52" customFormat="false" ht="15" hidden="false" customHeight="false" outlineLevel="0" collapsed="false">
      <c r="A52" s="14" t="s">
        <v>1159</v>
      </c>
      <c r="B52" s="14" t="n">
        <v>2</v>
      </c>
      <c r="C52" s="15" t="n">
        <f aca="false">B52/155</f>
        <v>0.0129032258064516</v>
      </c>
      <c r="D52" s="10" t="s">
        <v>1435</v>
      </c>
    </row>
    <row r="53" customFormat="false" ht="15" hidden="false" customHeight="false" outlineLevel="0" collapsed="false">
      <c r="A53" s="14" t="s">
        <v>1436</v>
      </c>
      <c r="B53" s="14" t="n">
        <v>1</v>
      </c>
      <c r="C53" s="15" t="n">
        <f aca="false">B53/155</f>
        <v>0.00645161290322581</v>
      </c>
      <c r="D53" s="10" t="s">
        <v>619</v>
      </c>
    </row>
    <row r="54" customFormat="false" ht="15" hidden="false" customHeight="false" outlineLevel="0" collapsed="false">
      <c r="A54" s="17" t="s">
        <v>1437</v>
      </c>
    </row>
    <row r="56" customFormat="false" ht="15" hidden="false" customHeight="false" outlineLevel="0" collapsed="false">
      <c r="A56" s="12" t="s">
        <v>1438</v>
      </c>
    </row>
    <row r="57" customFormat="false" ht="15" hidden="false" customHeight="false" outlineLevel="0" collapsed="false">
      <c r="A57" s="13" t="s">
        <v>1395</v>
      </c>
      <c r="B57" s="13" t="s">
        <v>1396</v>
      </c>
      <c r="C57" s="13" t="s">
        <v>1397</v>
      </c>
      <c r="D57" s="13" t="s">
        <v>1398</v>
      </c>
    </row>
    <row r="58" customFormat="false" ht="35.05" hidden="false" customHeight="false" outlineLevel="0" collapsed="false">
      <c r="A58" s="14" t="s">
        <v>65</v>
      </c>
      <c r="B58" s="14" t="n">
        <v>63</v>
      </c>
      <c r="C58" s="15" t="n">
        <f aca="false">B58/155</f>
        <v>0.406451612903226</v>
      </c>
      <c r="D58" s="10" t="s">
        <v>1439</v>
      </c>
    </row>
    <row r="59" customFormat="false" ht="15" hidden="false" customHeight="false" outlineLevel="0" collapsed="false">
      <c r="A59" s="14" t="s">
        <v>1440</v>
      </c>
      <c r="B59" s="14" t="n">
        <v>10</v>
      </c>
      <c r="C59" s="15" t="n">
        <f aca="false">B59/155</f>
        <v>0.0645161290322581</v>
      </c>
      <c r="D59" s="10" t="s">
        <v>1441</v>
      </c>
    </row>
    <row r="60" customFormat="false" ht="15" hidden="false" customHeight="false" outlineLevel="0" collapsed="false">
      <c r="A60" s="14" t="s">
        <v>355</v>
      </c>
      <c r="B60" s="14" t="n">
        <v>8</v>
      </c>
      <c r="C60" s="15" t="n">
        <f aca="false">B60/155</f>
        <v>0.0516129032258065</v>
      </c>
      <c r="D60" s="10" t="s">
        <v>1442</v>
      </c>
    </row>
    <row r="61" customFormat="false" ht="15" hidden="false" customHeight="false" outlineLevel="0" collapsed="false">
      <c r="A61" s="14" t="s">
        <v>1443</v>
      </c>
      <c r="B61" s="14" t="n">
        <v>5</v>
      </c>
      <c r="C61" s="15" t="n">
        <f aca="false">B61/155</f>
        <v>0.032258064516129</v>
      </c>
      <c r="D61" s="10" t="s">
        <v>1444</v>
      </c>
    </row>
    <row r="62" customFormat="false" ht="15" hidden="false" customHeight="false" outlineLevel="0" collapsed="false">
      <c r="A62" s="14" t="s">
        <v>1445</v>
      </c>
      <c r="B62" s="14" t="n">
        <v>5</v>
      </c>
      <c r="C62" s="15" t="n">
        <f aca="false">B62/155</f>
        <v>0.032258064516129</v>
      </c>
      <c r="D62" s="10" t="s">
        <v>1446</v>
      </c>
    </row>
    <row r="63" customFormat="false" ht="15" hidden="false" customHeight="false" outlineLevel="0" collapsed="false">
      <c r="A63" s="14" t="s">
        <v>455</v>
      </c>
      <c r="B63" s="14" t="n">
        <v>3</v>
      </c>
      <c r="C63" s="15" t="n">
        <f aca="false">B63/155</f>
        <v>0.0193548387096774</v>
      </c>
      <c r="D63" s="10" t="s">
        <v>1447</v>
      </c>
    </row>
    <row r="64" customFormat="false" ht="15" hidden="false" customHeight="false" outlineLevel="0" collapsed="false">
      <c r="A64" s="14" t="s">
        <v>1448</v>
      </c>
      <c r="B64" s="14" t="n">
        <v>2</v>
      </c>
      <c r="C64" s="15" t="n">
        <f aca="false">B64/155</f>
        <v>0.0129032258064516</v>
      </c>
      <c r="D64" s="10" t="s">
        <v>1449</v>
      </c>
    </row>
    <row r="65" customFormat="false" ht="15" hidden="false" customHeight="false" outlineLevel="0" collapsed="false">
      <c r="A65" s="14" t="s">
        <v>1450</v>
      </c>
      <c r="B65" s="14" t="n">
        <v>2</v>
      </c>
      <c r="C65" s="15" t="n">
        <f aca="false">B65/155</f>
        <v>0.0129032258064516</v>
      </c>
      <c r="D65" s="10" t="s">
        <v>1451</v>
      </c>
    </row>
    <row r="66" customFormat="false" ht="15" hidden="false" customHeight="false" outlineLevel="0" collapsed="false">
      <c r="A66" s="14" t="s">
        <v>671</v>
      </c>
      <c r="B66" s="14" t="n">
        <v>2</v>
      </c>
      <c r="C66" s="15" t="n">
        <f aca="false">B66/155</f>
        <v>0.0129032258064516</v>
      </c>
      <c r="D66" s="10" t="s">
        <v>1452</v>
      </c>
    </row>
    <row r="67" customFormat="false" ht="15" hidden="false" customHeight="false" outlineLevel="0" collapsed="false">
      <c r="A67" s="14" t="s">
        <v>1453</v>
      </c>
      <c r="B67" s="14" t="n">
        <v>1</v>
      </c>
      <c r="C67" s="15" t="n">
        <f aca="false">B67/155</f>
        <v>0.00645161290322581</v>
      </c>
      <c r="D67" s="10" t="s">
        <v>224</v>
      </c>
    </row>
    <row r="68" customFormat="false" ht="15" hidden="false" customHeight="false" outlineLevel="0" collapsed="false">
      <c r="A68" s="14" t="s">
        <v>1454</v>
      </c>
      <c r="B68" s="14" t="n">
        <v>1</v>
      </c>
      <c r="C68" s="15" t="n">
        <f aca="false">B68/155</f>
        <v>0.00645161290322581</v>
      </c>
      <c r="D68" s="10" t="s">
        <v>253</v>
      </c>
    </row>
    <row r="69" customFormat="false" ht="15" hidden="false" customHeight="false" outlineLevel="0" collapsed="false">
      <c r="A69" s="14" t="s">
        <v>1455</v>
      </c>
      <c r="B69" s="14" t="n">
        <v>1</v>
      </c>
      <c r="C69" s="15" t="n">
        <f aca="false">B69/155</f>
        <v>0.00645161290322581</v>
      </c>
      <c r="D69" s="10" t="s">
        <v>619</v>
      </c>
    </row>
    <row r="70" customFormat="false" ht="15" hidden="false" customHeight="false" outlineLevel="0" collapsed="false">
      <c r="A70" s="14" t="s">
        <v>1456</v>
      </c>
      <c r="B70" s="14" t="n">
        <v>1</v>
      </c>
      <c r="C70" s="15" t="n">
        <f aca="false">B70/155</f>
        <v>0.00645161290322581</v>
      </c>
      <c r="D70" s="10" t="s">
        <v>952</v>
      </c>
    </row>
    <row r="71" customFormat="false" ht="15" hidden="false" customHeight="false" outlineLevel="0" collapsed="false">
      <c r="A71" s="14" t="s">
        <v>1457</v>
      </c>
      <c r="B71" s="14" t="n">
        <v>1</v>
      </c>
      <c r="C71" s="15" t="n">
        <f aca="false">B71/155</f>
        <v>0.00645161290322581</v>
      </c>
      <c r="D71" s="10" t="s">
        <v>952</v>
      </c>
    </row>
    <row r="72" customFormat="false" ht="15" hidden="false" customHeight="false" outlineLevel="0" collapsed="false">
      <c r="A72" s="14" t="s">
        <v>1458</v>
      </c>
      <c r="B72" s="14" t="n">
        <v>1</v>
      </c>
      <c r="C72" s="15" t="n">
        <f aca="false">B72/155</f>
        <v>0.00645161290322581</v>
      </c>
      <c r="D72" s="10" t="s">
        <v>975</v>
      </c>
    </row>
    <row r="74" customFormat="false" ht="15" hidden="false" customHeight="false" outlineLevel="0" collapsed="false">
      <c r="A74" s="12" t="s">
        <v>1459</v>
      </c>
    </row>
    <row r="75" customFormat="false" ht="15" hidden="false" customHeight="false" outlineLevel="0" collapsed="false">
      <c r="A75" s="13" t="s">
        <v>1395</v>
      </c>
      <c r="B75" s="13" t="s">
        <v>1396</v>
      </c>
      <c r="C75" s="13" t="s">
        <v>1397</v>
      </c>
      <c r="D75" s="13" t="s">
        <v>1398</v>
      </c>
    </row>
    <row r="76" customFormat="false" ht="35.05" hidden="false" customHeight="false" outlineLevel="0" collapsed="false">
      <c r="A76" s="14" t="s">
        <v>104</v>
      </c>
      <c r="B76" s="14" t="n">
        <v>66</v>
      </c>
      <c r="C76" s="15" t="n">
        <f aca="false">B76/155</f>
        <v>0.425806451612903</v>
      </c>
      <c r="D76" s="10" t="s">
        <v>1460</v>
      </c>
    </row>
    <row r="77" customFormat="false" ht="35.05" hidden="false" customHeight="false" outlineLevel="0" collapsed="false">
      <c r="A77" s="14" t="s">
        <v>88</v>
      </c>
      <c r="B77" s="14" t="n">
        <v>57</v>
      </c>
      <c r="C77" s="15" t="n">
        <f aca="false">B77/155</f>
        <v>0.367741935483871</v>
      </c>
      <c r="D77" s="10" t="s">
        <v>1461</v>
      </c>
    </row>
    <row r="78" customFormat="false" ht="23.85" hidden="false" customHeight="false" outlineLevel="0" collapsed="false">
      <c r="A78" s="14" t="s">
        <v>1462</v>
      </c>
      <c r="B78" s="14" t="n">
        <v>24</v>
      </c>
      <c r="C78" s="15" t="n">
        <f aca="false">B78/155</f>
        <v>0.154838709677419</v>
      </c>
      <c r="D78" s="10" t="s">
        <v>1463</v>
      </c>
    </row>
    <row r="79" customFormat="false" ht="15" hidden="false" customHeight="false" outlineLevel="0" collapsed="false">
      <c r="A79" s="14" t="s">
        <v>1464</v>
      </c>
      <c r="B79" s="14" t="n">
        <v>16</v>
      </c>
      <c r="C79" s="15" t="n">
        <f aca="false">B79/155</f>
        <v>0.103225806451613</v>
      </c>
      <c r="D79" s="10" t="s">
        <v>1465</v>
      </c>
    </row>
    <row r="80" customFormat="false" ht="15" hidden="false" customHeight="false" outlineLevel="0" collapsed="false">
      <c r="A80" s="14" t="s">
        <v>356</v>
      </c>
      <c r="B80" s="14" t="n">
        <v>14</v>
      </c>
      <c r="C80" s="15" t="n">
        <f aca="false">B80/155</f>
        <v>0.0903225806451613</v>
      </c>
      <c r="D80" s="10" t="s">
        <v>1466</v>
      </c>
    </row>
    <row r="81" customFormat="false" ht="15" hidden="false" customHeight="false" outlineLevel="0" collapsed="false">
      <c r="A81" s="14" t="s">
        <v>157</v>
      </c>
      <c r="B81" s="14" t="n">
        <v>7</v>
      </c>
      <c r="C81" s="15" t="n">
        <f aca="false">B81/155</f>
        <v>0.0451612903225806</v>
      </c>
      <c r="D81" s="10" t="s">
        <v>1467</v>
      </c>
    </row>
    <row r="82" customFormat="false" ht="15" hidden="false" customHeight="false" outlineLevel="0" collapsed="false">
      <c r="A82" s="14" t="s">
        <v>823</v>
      </c>
      <c r="B82" s="14" t="n">
        <v>7</v>
      </c>
      <c r="C82" s="15" t="n">
        <f aca="false">B82/155</f>
        <v>0.0451612903225806</v>
      </c>
      <c r="D82" s="10" t="s">
        <v>1468</v>
      </c>
    </row>
    <row r="83" customFormat="false" ht="15" hidden="false" customHeight="false" outlineLevel="0" collapsed="false">
      <c r="A83" s="14" t="s">
        <v>1469</v>
      </c>
      <c r="B83" s="14" t="n">
        <v>4</v>
      </c>
      <c r="C83" s="15" t="n">
        <f aca="false">B83/155</f>
        <v>0.0258064516129032</v>
      </c>
      <c r="D83" s="10" t="s">
        <v>1470</v>
      </c>
    </row>
    <row r="84" customFormat="false" ht="15" hidden="false" customHeight="false" outlineLevel="0" collapsed="false">
      <c r="A84" s="14" t="s">
        <v>1267</v>
      </c>
      <c r="B84" s="14" t="n">
        <v>3</v>
      </c>
      <c r="C84" s="15" t="n">
        <f aca="false">B84/155</f>
        <v>0.0193548387096774</v>
      </c>
      <c r="D84" s="10" t="s">
        <v>1471</v>
      </c>
    </row>
    <row r="85" customFormat="false" ht="15" hidden="false" customHeight="false" outlineLevel="0" collapsed="false">
      <c r="A85" s="14" t="s">
        <v>509</v>
      </c>
      <c r="B85" s="14" t="n">
        <v>3</v>
      </c>
      <c r="C85" s="15" t="n">
        <f aca="false">B85/155</f>
        <v>0.0193548387096774</v>
      </c>
      <c r="D85" s="10" t="s">
        <v>1472</v>
      </c>
    </row>
    <row r="86" customFormat="false" ht="15" hidden="false" customHeight="false" outlineLevel="0" collapsed="false">
      <c r="A86" s="14" t="s">
        <v>1473</v>
      </c>
      <c r="B86" s="14" t="n">
        <v>3</v>
      </c>
      <c r="C86" s="15" t="n">
        <f aca="false">B86/155</f>
        <v>0.0193548387096774</v>
      </c>
      <c r="D86" s="10" t="s">
        <v>1474</v>
      </c>
    </row>
    <row r="87" customFormat="false" ht="15" hidden="false" customHeight="false" outlineLevel="0" collapsed="false">
      <c r="A87" s="14" t="s">
        <v>219</v>
      </c>
      <c r="B87" s="14" t="n">
        <v>2</v>
      </c>
      <c r="C87" s="15" t="n">
        <f aca="false">B87/155</f>
        <v>0.0129032258064516</v>
      </c>
      <c r="D87" s="10" t="s">
        <v>1475</v>
      </c>
    </row>
    <row r="88" customFormat="false" ht="15" hidden="false" customHeight="false" outlineLevel="0" collapsed="false">
      <c r="A88" s="14" t="s">
        <v>1476</v>
      </c>
      <c r="B88" s="14" t="n">
        <v>2</v>
      </c>
      <c r="C88" s="15" t="n">
        <f aca="false">B88/155</f>
        <v>0.0129032258064516</v>
      </c>
      <c r="D88" s="10" t="s">
        <v>1477</v>
      </c>
    </row>
    <row r="89" customFormat="false" ht="15" hidden="false" customHeight="false" outlineLevel="0" collapsed="false">
      <c r="A89" s="14" t="s">
        <v>882</v>
      </c>
      <c r="B89" s="14" t="n">
        <v>2</v>
      </c>
      <c r="C89" s="15" t="n">
        <f aca="false">B89/155</f>
        <v>0.0129032258064516</v>
      </c>
      <c r="D89" s="10" t="s">
        <v>1478</v>
      </c>
    </row>
    <row r="90" customFormat="false" ht="15" hidden="false" customHeight="false" outlineLevel="0" collapsed="false">
      <c r="A90" s="14" t="s">
        <v>66</v>
      </c>
      <c r="B90" s="14" t="n">
        <v>1</v>
      </c>
      <c r="C90" s="15" t="n">
        <f aca="false">B90/155</f>
        <v>0.00645161290322581</v>
      </c>
      <c r="D90" s="10" t="s">
        <v>56</v>
      </c>
    </row>
    <row r="92" customFormat="false" ht="15" hidden="false" customHeight="false" outlineLevel="0" collapsed="false">
      <c r="A92" s="12" t="s">
        <v>1479</v>
      </c>
    </row>
    <row r="93" customFormat="false" ht="15" hidden="false" customHeight="false" outlineLevel="0" collapsed="false">
      <c r="A93" s="13" t="s">
        <v>1395</v>
      </c>
      <c r="B93" s="13" t="s">
        <v>1396</v>
      </c>
      <c r="C93" s="13" t="s">
        <v>1397</v>
      </c>
      <c r="D93" s="13" t="s">
        <v>1398</v>
      </c>
    </row>
    <row r="94" customFormat="false" ht="46.25" hidden="false" customHeight="false" outlineLevel="0" collapsed="false">
      <c r="A94" s="14" t="s">
        <v>105</v>
      </c>
      <c r="B94" s="14" t="n">
        <v>91</v>
      </c>
      <c r="C94" s="15" t="n">
        <f aca="false">B94/155</f>
        <v>0.587096774193548</v>
      </c>
      <c r="D94" s="10" t="s">
        <v>1480</v>
      </c>
    </row>
    <row r="95" customFormat="false" ht="15" hidden="false" customHeight="false" outlineLevel="0" collapsed="false">
      <c r="A95" s="14" t="s">
        <v>89</v>
      </c>
      <c r="B95" s="14" t="n">
        <v>18</v>
      </c>
      <c r="C95" s="15" t="n">
        <f aca="false">B95/155</f>
        <v>0.116129032258065</v>
      </c>
      <c r="D95" s="10" t="s">
        <v>1481</v>
      </c>
    </row>
    <row r="96" customFormat="false" ht="15" hidden="false" customHeight="false" outlineLevel="0" collapsed="false">
      <c r="A96" s="14" t="s">
        <v>991</v>
      </c>
      <c r="B96" s="14" t="n">
        <v>5</v>
      </c>
      <c r="C96" s="15" t="n">
        <f aca="false">B96/155</f>
        <v>0.032258064516129</v>
      </c>
      <c r="D96" s="10" t="s">
        <v>1482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s>
  <sheetData>
    <row r="1" customFormat="false" ht="15" hidden="false" customHeight="false" outlineLevel="0" collapsed="false">
      <c r="A1" s="12" t="s">
        <v>1483</v>
      </c>
    </row>
    <row r="2" customFormat="false" ht="15" hidden="false" customHeight="false" outlineLevel="0" collapsed="false">
      <c r="A2" s="13" t="s">
        <v>1484</v>
      </c>
      <c r="B2" s="13" t="s">
        <v>1396</v>
      </c>
      <c r="C2" s="13" t="s">
        <v>1397</v>
      </c>
    </row>
    <row r="3" customFormat="false" ht="15" hidden="false" customHeight="false" outlineLevel="0" collapsed="false">
      <c r="A3" s="14" t="n">
        <v>0</v>
      </c>
      <c r="B3" s="14" t="n">
        <v>14</v>
      </c>
      <c r="C3" s="15" t="n">
        <f aca="false">B3/155</f>
        <v>0.0903225806451613</v>
      </c>
    </row>
    <row r="4" customFormat="false" ht="15" hidden="false" customHeight="false" outlineLevel="0" collapsed="false">
      <c r="A4" s="14" t="n">
        <v>1</v>
      </c>
      <c r="B4" s="14" t="n">
        <v>37</v>
      </c>
      <c r="C4" s="15" t="n">
        <f aca="false">B4/155</f>
        <v>0.238709677419355</v>
      </c>
    </row>
    <row r="5" customFormat="false" ht="15" hidden="false" customHeight="false" outlineLevel="0" collapsed="false">
      <c r="A5" s="14" t="n">
        <v>2</v>
      </c>
      <c r="B5" s="14" t="n">
        <v>78</v>
      </c>
      <c r="C5" s="15" t="n">
        <f aca="false">B5/155</f>
        <v>0.503225806451613</v>
      </c>
    </row>
    <row r="6" customFormat="false" ht="15" hidden="false" customHeight="false" outlineLevel="0" collapsed="false">
      <c r="A6" s="14" t="n">
        <v>3</v>
      </c>
      <c r="B6" s="14" t="n">
        <v>26</v>
      </c>
      <c r="C6" s="15" t="n">
        <f aca="false">B6/155</f>
        <v>0.167741935483871</v>
      </c>
    </row>
    <row r="8" customFormat="false" ht="15" hidden="false" customHeight="false" outlineLevel="0" collapsed="false">
      <c r="A8" s="12" t="s">
        <v>1485</v>
      </c>
    </row>
    <row r="9" customFormat="false" ht="15" hidden="false" customHeight="false" outlineLevel="0" collapsed="false">
      <c r="A9" s="13" t="s">
        <v>1484</v>
      </c>
      <c r="B9" s="13" t="s">
        <v>1396</v>
      </c>
      <c r="C9" s="13" t="s">
        <v>1397</v>
      </c>
    </row>
    <row r="10" customFormat="false" ht="15" hidden="false" customHeight="false" outlineLevel="0" collapsed="false">
      <c r="A10" s="14" t="n">
        <v>0</v>
      </c>
      <c r="B10" s="14" t="n">
        <v>13</v>
      </c>
      <c r="C10" s="15" t="n">
        <f aca="false">B10/155</f>
        <v>0.0838709677419355</v>
      </c>
    </row>
    <row r="11" customFormat="false" ht="15" hidden="false" customHeight="false" outlineLevel="0" collapsed="false">
      <c r="A11" s="14" t="n">
        <v>1</v>
      </c>
      <c r="B11" s="14" t="n">
        <v>14</v>
      </c>
      <c r="C11" s="15" t="n">
        <f aca="false">B11/155</f>
        <v>0.0903225806451613</v>
      </c>
    </row>
    <row r="12" customFormat="false" ht="15" hidden="false" customHeight="false" outlineLevel="0" collapsed="false">
      <c r="A12" s="14" t="n">
        <v>2</v>
      </c>
      <c r="B12" s="14" t="n">
        <v>68</v>
      </c>
      <c r="C12" s="15" t="n">
        <f aca="false">B12/155</f>
        <v>0.438709677419355</v>
      </c>
    </row>
    <row r="13" customFormat="false" ht="15" hidden="false" customHeight="false" outlineLevel="0" collapsed="false">
      <c r="A13" s="14" t="n">
        <v>3</v>
      </c>
      <c r="B13" s="14" t="n">
        <v>60</v>
      </c>
      <c r="C13" s="15" t="n">
        <f aca="false">B13/155</f>
        <v>0.387096774193548</v>
      </c>
    </row>
    <row r="15" customFormat="false" ht="15" hidden="false" customHeight="false" outlineLevel="0" collapsed="false">
      <c r="A15" s="12" t="s">
        <v>1486</v>
      </c>
    </row>
    <row r="16" customFormat="false" ht="15" hidden="false" customHeight="false" outlineLevel="0" collapsed="false">
      <c r="A16" s="13" t="s">
        <v>1484</v>
      </c>
      <c r="B16" s="13" t="s">
        <v>1396</v>
      </c>
      <c r="C16" s="13" t="s">
        <v>1397</v>
      </c>
    </row>
    <row r="17" customFormat="false" ht="15" hidden="false" customHeight="false" outlineLevel="0" collapsed="false">
      <c r="A17" s="14" t="n">
        <v>0</v>
      </c>
      <c r="B17" s="14" t="n">
        <v>16</v>
      </c>
      <c r="C17" s="15" t="n">
        <f aca="false">B17/155</f>
        <v>0.103225806451613</v>
      </c>
    </row>
    <row r="18" customFormat="false" ht="15" hidden="false" customHeight="false" outlineLevel="0" collapsed="false">
      <c r="A18" s="14" t="n">
        <v>1</v>
      </c>
      <c r="B18" s="14" t="n">
        <v>70</v>
      </c>
      <c r="C18" s="15" t="n">
        <f aca="false">B18/155</f>
        <v>0.451612903225806</v>
      </c>
    </row>
    <row r="19" customFormat="false" ht="15" hidden="false" customHeight="false" outlineLevel="0" collapsed="false">
      <c r="A19" s="14" t="n">
        <v>2</v>
      </c>
      <c r="B19" s="14" t="n">
        <v>53</v>
      </c>
      <c r="C19" s="15" t="n">
        <f aca="false">B19/155</f>
        <v>0.341935483870968</v>
      </c>
    </row>
    <row r="20" customFormat="false" ht="15" hidden="false" customHeight="false" outlineLevel="0" collapsed="false">
      <c r="A20" s="14" t="n">
        <v>3</v>
      </c>
      <c r="B20" s="14" t="n">
        <v>16</v>
      </c>
      <c r="C20" s="15" t="n">
        <f aca="false">B20/155</f>
        <v>0.103225806451613</v>
      </c>
    </row>
    <row r="22" customFormat="false" ht="15" hidden="false" customHeight="false" outlineLevel="0" collapsed="false">
      <c r="A22" s="12" t="s">
        <v>1487</v>
      </c>
    </row>
    <row r="23" customFormat="false" ht="15" hidden="false" customHeight="false" outlineLevel="0" collapsed="false">
      <c r="A23" s="13" t="s">
        <v>1484</v>
      </c>
      <c r="B23" s="13" t="s">
        <v>1396</v>
      </c>
      <c r="C23" s="13" t="s">
        <v>1397</v>
      </c>
    </row>
    <row r="24" customFormat="false" ht="15" hidden="false" customHeight="false" outlineLevel="0" collapsed="false">
      <c r="A24" s="14" t="n">
        <v>0</v>
      </c>
      <c r="B24" s="14" t="n">
        <v>83</v>
      </c>
      <c r="C24" s="15" t="n">
        <f aca="false">B24/155</f>
        <v>0.535483870967742</v>
      </c>
    </row>
    <row r="25" customFormat="false" ht="15" hidden="false" customHeight="false" outlineLevel="0" collapsed="false">
      <c r="A25" s="14" t="n">
        <v>1</v>
      </c>
      <c r="B25" s="14" t="n">
        <v>54</v>
      </c>
      <c r="C25" s="15" t="n">
        <f aca="false">B25/155</f>
        <v>0.348387096774194</v>
      </c>
    </row>
    <row r="26" customFormat="false" ht="15" hidden="false" customHeight="false" outlineLevel="0" collapsed="false">
      <c r="A26" s="14" t="n">
        <v>2</v>
      </c>
      <c r="B26" s="14" t="n">
        <v>18</v>
      </c>
      <c r="C26" s="15" t="n">
        <f aca="false">B26/155</f>
        <v>0.116129032258065</v>
      </c>
    </row>
    <row r="28" customFormat="false" ht="15" hidden="false" customHeight="false" outlineLevel="0" collapsed="false">
      <c r="A28" s="12" t="s">
        <v>1488</v>
      </c>
    </row>
    <row r="29" customFormat="false" ht="15" hidden="false" customHeight="false" outlineLevel="0" collapsed="false">
      <c r="A29" s="13" t="s">
        <v>1484</v>
      </c>
      <c r="B29" s="13" t="s">
        <v>1396</v>
      </c>
      <c r="C29" s="13" t="s">
        <v>1397</v>
      </c>
    </row>
    <row r="30" customFormat="false" ht="15" hidden="false" customHeight="false" outlineLevel="0" collapsed="false">
      <c r="A30" s="14" t="n">
        <v>0</v>
      </c>
      <c r="B30" s="14" t="n">
        <v>78</v>
      </c>
      <c r="C30" s="15" t="n">
        <f aca="false">B30/155</f>
        <v>0.503225806451613</v>
      </c>
    </row>
    <row r="31" customFormat="false" ht="15" hidden="false" customHeight="false" outlineLevel="0" collapsed="false">
      <c r="A31" s="14" t="n">
        <v>1</v>
      </c>
      <c r="B31" s="14" t="n">
        <v>15</v>
      </c>
      <c r="C31" s="15" t="n">
        <f aca="false">B31/155</f>
        <v>0.0967741935483871</v>
      </c>
    </row>
    <row r="32" customFormat="false" ht="15" hidden="false" customHeight="false" outlineLevel="0" collapsed="false">
      <c r="A32" s="14" t="n">
        <v>2</v>
      </c>
      <c r="B32" s="14" t="n">
        <v>32</v>
      </c>
      <c r="C32" s="15" t="n">
        <f aca="false">B32/155</f>
        <v>0.206451612903226</v>
      </c>
    </row>
    <row r="33" customFormat="false" ht="15" hidden="false" customHeight="false" outlineLevel="0" collapsed="false">
      <c r="A33" s="14" t="n">
        <v>3</v>
      </c>
      <c r="B33" s="14" t="n">
        <v>30</v>
      </c>
      <c r="C33" s="15" t="n">
        <f aca="false">B33/155</f>
        <v>0.193548387096774</v>
      </c>
    </row>
    <row r="35" customFormat="false" ht="15" hidden="false" customHeight="false" outlineLevel="0" collapsed="false">
      <c r="A35" s="12" t="s">
        <v>1489</v>
      </c>
    </row>
    <row r="36" customFormat="false" ht="15" hidden="false" customHeight="false" outlineLevel="0" collapsed="false">
      <c r="A36" s="13" t="s">
        <v>1484</v>
      </c>
      <c r="B36" s="13" t="s">
        <v>1396</v>
      </c>
      <c r="C36" s="13" t="s">
        <v>1397</v>
      </c>
    </row>
    <row r="37" customFormat="false" ht="15" hidden="false" customHeight="false" outlineLevel="0" collapsed="false">
      <c r="A37" s="14" t="n">
        <v>0</v>
      </c>
      <c r="B37" s="14" t="n">
        <v>25</v>
      </c>
      <c r="C37" s="15" t="n">
        <f aca="false">B37/155</f>
        <v>0.161290322580645</v>
      </c>
    </row>
    <row r="38" customFormat="false" ht="15" hidden="false" customHeight="false" outlineLevel="0" collapsed="false">
      <c r="A38" s="14" t="n">
        <v>1</v>
      </c>
      <c r="B38" s="14" t="n">
        <v>108</v>
      </c>
      <c r="C38" s="15" t="n">
        <f aca="false">B38/155</f>
        <v>0.696774193548387</v>
      </c>
    </row>
    <row r="39" customFormat="false" ht="15" hidden="false" customHeight="false" outlineLevel="0" collapsed="false">
      <c r="A39" s="14" t="n">
        <v>2</v>
      </c>
      <c r="B39" s="14" t="n">
        <v>4</v>
      </c>
      <c r="C39" s="15" t="n">
        <f aca="false">B39/155</f>
        <v>0.0258064516129032</v>
      </c>
    </row>
    <row r="40" customFormat="false" ht="15" hidden="false" customHeight="false" outlineLevel="0" collapsed="false">
      <c r="A40" s="14" t="n">
        <v>3</v>
      </c>
      <c r="B40" s="14" t="n">
        <v>18</v>
      </c>
      <c r="C40" s="15" t="n">
        <f aca="false">B40/155</f>
        <v>0.116129032258065</v>
      </c>
    </row>
    <row r="42" customFormat="false" ht="15" hidden="false" customHeight="false" outlineLevel="0" collapsed="false">
      <c r="A42" s="12" t="s">
        <v>1490</v>
      </c>
    </row>
    <row r="43" customFormat="false" ht="15" hidden="false" customHeight="false" outlineLevel="0" collapsed="false">
      <c r="A43" s="13" t="s">
        <v>1484</v>
      </c>
      <c r="B43" s="13" t="s">
        <v>1396</v>
      </c>
      <c r="C43" s="13" t="s">
        <v>1397</v>
      </c>
    </row>
    <row r="44" customFormat="false" ht="15" hidden="false" customHeight="false" outlineLevel="0" collapsed="false">
      <c r="A44" s="14" t="n">
        <v>0</v>
      </c>
      <c r="B44" s="14" t="n">
        <v>106</v>
      </c>
      <c r="C44" s="15" t="n">
        <f aca="false">B44/155</f>
        <v>0.683870967741936</v>
      </c>
    </row>
    <row r="45" customFormat="false" ht="15" hidden="false" customHeight="false" outlineLevel="0" collapsed="false">
      <c r="A45" s="14" t="n">
        <v>1</v>
      </c>
      <c r="B45" s="14" t="n">
        <v>1</v>
      </c>
      <c r="C45" s="15" t="n">
        <f aca="false">B45/155</f>
        <v>0.00645161290322581</v>
      </c>
    </row>
    <row r="46" customFormat="false" ht="15" hidden="false" customHeight="false" outlineLevel="0" collapsed="false">
      <c r="A46" s="14" t="n">
        <v>2</v>
      </c>
      <c r="B46" s="14" t="n">
        <v>48</v>
      </c>
      <c r="C46" s="15" t="n">
        <f aca="false">B46/155</f>
        <v>0.309677419354839</v>
      </c>
    </row>
    <row r="48" customFormat="false" ht="15" hidden="false" customHeight="false" outlineLevel="0" collapsed="false">
      <c r="A48" s="12" t="s">
        <v>1491</v>
      </c>
    </row>
    <row r="49" customFormat="false" ht="15" hidden="false" customHeight="false" outlineLevel="0" collapsed="false">
      <c r="A49" s="13" t="s">
        <v>1484</v>
      </c>
      <c r="B49" s="13" t="s">
        <v>1396</v>
      </c>
      <c r="C49" s="13" t="s">
        <v>1397</v>
      </c>
    </row>
    <row r="50" customFormat="false" ht="15" hidden="false" customHeight="false" outlineLevel="0" collapsed="false">
      <c r="A50" s="14" t="n">
        <v>0</v>
      </c>
      <c r="B50" s="14" t="n">
        <v>6</v>
      </c>
      <c r="C50" s="15" t="n">
        <f aca="false">B50/155</f>
        <v>0.0387096774193548</v>
      </c>
    </row>
    <row r="51" customFormat="false" ht="15" hidden="false" customHeight="false" outlineLevel="0" collapsed="false">
      <c r="A51" s="14" t="n">
        <v>1</v>
      </c>
      <c r="B51" s="14" t="n">
        <v>68</v>
      </c>
      <c r="C51" s="15" t="n">
        <f aca="false">B51/155</f>
        <v>0.438709677419355</v>
      </c>
    </row>
    <row r="52" customFormat="false" ht="15" hidden="false" customHeight="false" outlineLevel="0" collapsed="false">
      <c r="A52" s="14" t="n">
        <v>2</v>
      </c>
      <c r="B52" s="14" t="n">
        <v>81</v>
      </c>
      <c r="C52" s="15" t="n">
        <f aca="false">B52/155</f>
        <v>0.52258064516129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7"/>
    <col collapsed="false" customWidth="true" hidden="false" outlineLevel="0" max="4" min="4" style="0" width="44"/>
    <col collapsed="false" customWidth="true" hidden="false" outlineLevel="0" max="5" min="5" style="0" width="34"/>
    <col collapsed="false" customWidth="true" hidden="false" outlineLevel="0" max="6" min="6" style="0" width="12"/>
    <col collapsed="false" customWidth="true" hidden="false" outlineLevel="0" max="8" min="7" style="0" width="40"/>
  </cols>
  <sheetData>
    <row r="1" customFormat="false" ht="23.85" hidden="false" customHeight="false" outlineLevel="0" collapsed="false">
      <c r="A1" s="3" t="s">
        <v>22</v>
      </c>
      <c r="B1" s="3" t="s">
        <v>23</v>
      </c>
      <c r="C1" s="3" t="s">
        <v>24</v>
      </c>
      <c r="D1" s="3" t="s">
        <v>25</v>
      </c>
      <c r="E1" s="3" t="s">
        <v>1492</v>
      </c>
      <c r="F1" s="3" t="s">
        <v>28</v>
      </c>
      <c r="G1" s="3" t="s">
        <v>46</v>
      </c>
      <c r="H1" s="3" t="s">
        <v>47</v>
      </c>
    </row>
    <row r="2" customFormat="false" ht="68.65" hidden="false" customHeight="false" outlineLevel="0" collapsed="false">
      <c r="A2" s="10" t="s">
        <v>429</v>
      </c>
      <c r="B2" s="10" t="s">
        <v>430</v>
      </c>
      <c r="C2" s="10" t="s">
        <v>281</v>
      </c>
      <c r="D2" s="10" t="s">
        <v>431</v>
      </c>
      <c r="E2" s="10" t="s">
        <v>1493</v>
      </c>
      <c r="F2" s="10" t="s">
        <v>62</v>
      </c>
      <c r="G2" s="10" t="s">
        <v>435</v>
      </c>
      <c r="H2" s="10" t="s">
        <v>436</v>
      </c>
    </row>
    <row r="3" customFormat="false" ht="46.25" hidden="false" customHeight="false" outlineLevel="0" collapsed="false">
      <c r="A3" s="10" t="s">
        <v>1107</v>
      </c>
      <c r="B3" s="10" t="s">
        <v>1108</v>
      </c>
      <c r="C3" s="10" t="s">
        <v>153</v>
      </c>
      <c r="D3" s="10" t="s">
        <v>1109</v>
      </c>
      <c r="E3" s="10" t="s">
        <v>84</v>
      </c>
      <c r="F3" s="10" t="s">
        <v>62</v>
      </c>
      <c r="G3" s="10" t="s">
        <v>1110</v>
      </c>
      <c r="H3" s="10" t="s">
        <v>1111</v>
      </c>
    </row>
    <row r="4" customFormat="false" ht="113.4" hidden="false" customHeight="false" outlineLevel="0" collapsed="false">
      <c r="A4" s="10" t="s">
        <v>1137</v>
      </c>
      <c r="B4" s="10" t="s">
        <v>1138</v>
      </c>
      <c r="C4" s="10" t="s">
        <v>364</v>
      </c>
      <c r="D4" s="10" t="s">
        <v>1139</v>
      </c>
      <c r="E4" s="10" t="s">
        <v>1140</v>
      </c>
      <c r="F4" s="10" t="s">
        <v>112</v>
      </c>
      <c r="G4" s="10" t="s">
        <v>1142</v>
      </c>
      <c r="H4" s="10" t="s">
        <v>69</v>
      </c>
    </row>
    <row r="5" customFormat="false" ht="79.85" hidden="false" customHeight="false" outlineLevel="0" collapsed="false">
      <c r="A5" s="10" t="s">
        <v>1176</v>
      </c>
      <c r="B5" s="10" t="s">
        <v>1177</v>
      </c>
      <c r="C5" s="10" t="s">
        <v>166</v>
      </c>
      <c r="D5" s="10" t="s">
        <v>1178</v>
      </c>
      <c r="E5" s="10" t="s">
        <v>1179</v>
      </c>
      <c r="F5" s="10" t="s">
        <v>76</v>
      </c>
      <c r="G5" s="10" t="s">
        <v>1181</v>
      </c>
      <c r="H5" s="10" t="s">
        <v>1182</v>
      </c>
    </row>
    <row r="7" customFormat="false" ht="15" hidden="false" customHeight="false" outlineLevel="0" collapsed="false">
      <c r="A7" s="17" t="s">
        <v>1494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s>
  <sheetData>
    <row r="1" customFormat="false" ht="23.85" hidden="false" customHeight="false" outlineLevel="0" collapsed="false">
      <c r="A1" s="3" t="s">
        <v>1495</v>
      </c>
      <c r="B1" s="3" t="s">
        <v>1496</v>
      </c>
    </row>
    <row r="2" customFormat="false" ht="15" hidden="false" customHeight="false" outlineLevel="0" collapsed="false">
      <c r="A2" s="10" t="s">
        <v>1497</v>
      </c>
      <c r="B2" s="10" t="s">
        <v>1498</v>
      </c>
    </row>
    <row r="3" customFormat="false" ht="15" hidden="false" customHeight="false" outlineLevel="0" collapsed="false">
      <c r="A3" s="10" t="s">
        <v>1499</v>
      </c>
      <c r="B3" s="10" t="s">
        <v>1500</v>
      </c>
    </row>
    <row r="4" customFormat="false" ht="15" hidden="false" customHeight="false" outlineLevel="0" collapsed="false">
      <c r="A4" s="10" t="s">
        <v>1501</v>
      </c>
      <c r="B4" s="10" t="s">
        <v>1502</v>
      </c>
    </row>
    <row r="5" customFormat="false" ht="15" hidden="false" customHeight="false" outlineLevel="0" collapsed="false">
      <c r="A5" s="10" t="s">
        <v>1503</v>
      </c>
      <c r="B5" s="10" t="s">
        <v>1504</v>
      </c>
    </row>
    <row r="6" customFormat="false" ht="15" hidden="false" customHeight="false" outlineLevel="0" collapsed="false">
      <c r="A6" s="10" t="s">
        <v>1505</v>
      </c>
      <c r="B6" s="10" t="s">
        <v>1506</v>
      </c>
    </row>
    <row r="7" customFormat="false" ht="15" hidden="false" customHeight="false" outlineLevel="0" collapsed="false">
      <c r="A7" s="10" t="s">
        <v>1507</v>
      </c>
      <c r="B7" s="10" t="s">
        <v>1508</v>
      </c>
    </row>
    <row r="8" customFormat="false" ht="15" hidden="false" customHeight="false" outlineLevel="0" collapsed="false">
      <c r="A8" s="10" t="s">
        <v>1509</v>
      </c>
      <c r="B8" s="10" t="s">
        <v>1510</v>
      </c>
    </row>
    <row r="9" customFormat="false" ht="15" hidden="false" customHeight="false" outlineLevel="0" collapsed="false">
      <c r="A9" s="10" t="s">
        <v>1511</v>
      </c>
      <c r="B9" s="10" t="s">
        <v>1512</v>
      </c>
    </row>
    <row r="10" customFormat="false" ht="15" hidden="false" customHeight="false" outlineLevel="0" collapsed="false">
      <c r="A10" s="10" t="s">
        <v>1513</v>
      </c>
      <c r="B10" s="10" t="s">
        <v>1514</v>
      </c>
    </row>
    <row r="11" customFormat="false" ht="15" hidden="false" customHeight="false" outlineLevel="0" collapsed="false">
      <c r="A11" s="10" t="s">
        <v>1515</v>
      </c>
      <c r="B11" s="10" t="s">
        <v>1516</v>
      </c>
    </row>
    <row r="12" customFormat="false" ht="15" hidden="false" customHeight="false" outlineLevel="0" collapsed="false">
      <c r="A12" s="10" t="s">
        <v>1517</v>
      </c>
      <c r="B12" s="10" t="s">
        <v>1518</v>
      </c>
    </row>
    <row r="13" customFormat="false" ht="15" hidden="false" customHeight="false" outlineLevel="0" collapsed="false">
      <c r="A13" s="10" t="s">
        <v>1519</v>
      </c>
      <c r="B13" s="10" t="s">
        <v>1520</v>
      </c>
    </row>
    <row r="14" customFormat="false" ht="15" hidden="false" customHeight="false" outlineLevel="0" collapsed="false">
      <c r="A14" s="10" t="s">
        <v>1521</v>
      </c>
      <c r="B14" s="10" t="s">
        <v>1522</v>
      </c>
    </row>
    <row r="15" customFormat="false" ht="15" hidden="false" customHeight="false" outlineLevel="0" collapsed="false">
      <c r="A15" s="10" t="s">
        <v>1523</v>
      </c>
      <c r="B15" s="10" t="s">
        <v>1524</v>
      </c>
    </row>
    <row r="16" customFormat="false" ht="15" hidden="false" customHeight="false" outlineLevel="0" collapsed="false">
      <c r="A16" s="10" t="s">
        <v>1525</v>
      </c>
      <c r="B16" s="10" t="s">
        <v>1526</v>
      </c>
    </row>
    <row r="17" customFormat="false" ht="15" hidden="false" customHeight="false" outlineLevel="0" collapsed="false">
      <c r="A17" s="10" t="s">
        <v>1527</v>
      </c>
      <c r="B17" s="10" t="s">
        <v>1528</v>
      </c>
    </row>
    <row r="18" customFormat="false" ht="15" hidden="false" customHeight="false" outlineLevel="0" collapsed="false">
      <c r="A18" s="10" t="s">
        <v>1529</v>
      </c>
      <c r="B18" s="10" t="s">
        <v>1530</v>
      </c>
    </row>
    <row r="19" customFormat="false" ht="15" hidden="false" customHeight="false" outlineLevel="0" collapsed="false">
      <c r="A19" s="10" t="s">
        <v>1531</v>
      </c>
      <c r="B19" s="10" t="s">
        <v>1532</v>
      </c>
    </row>
    <row r="20" customFormat="false" ht="15" hidden="false" customHeight="false" outlineLevel="0" collapsed="false">
      <c r="A20" s="10" t="s">
        <v>1533</v>
      </c>
      <c r="B20" s="10" t="s">
        <v>1534</v>
      </c>
    </row>
    <row r="21" customFormat="false" ht="15" hidden="false" customHeight="false" outlineLevel="0" collapsed="false">
      <c r="A21" s="10" t="s">
        <v>1535</v>
      </c>
      <c r="B21" s="10" t="s">
        <v>1536</v>
      </c>
    </row>
    <row r="22" customFormat="false" ht="15" hidden="false" customHeight="false" outlineLevel="0" collapsed="false">
      <c r="A22" s="10" t="s">
        <v>1537</v>
      </c>
      <c r="B22" s="10" t="s">
        <v>1538</v>
      </c>
    </row>
    <row r="23" customFormat="false" ht="15" hidden="false" customHeight="false" outlineLevel="0" collapsed="false">
      <c r="A23" s="10" t="s">
        <v>1539</v>
      </c>
      <c r="B23" s="10" t="s">
        <v>1540</v>
      </c>
    </row>
    <row r="24" customFormat="false" ht="15" hidden="false" customHeight="false" outlineLevel="0" collapsed="false">
      <c r="A24" s="10" t="s">
        <v>1541</v>
      </c>
      <c r="B24" s="10" t="s">
        <v>1542</v>
      </c>
    </row>
    <row r="25" customFormat="false" ht="15" hidden="false" customHeight="false" outlineLevel="0" collapsed="false">
      <c r="A25" s="10" t="s">
        <v>1543</v>
      </c>
      <c r="B25" s="10" t="s">
        <v>1544</v>
      </c>
    </row>
    <row r="26" customFormat="false" ht="15" hidden="false" customHeight="false" outlineLevel="0" collapsed="false">
      <c r="A26" s="10" t="s">
        <v>1545</v>
      </c>
      <c r="B26" s="10" t="s">
        <v>1546</v>
      </c>
    </row>
    <row r="27" customFormat="false" ht="15" hidden="false" customHeight="false" outlineLevel="0" collapsed="false">
      <c r="A27" s="10" t="s">
        <v>1547</v>
      </c>
      <c r="B27" s="10" t="s">
        <v>1548</v>
      </c>
    </row>
    <row r="28" customFormat="false" ht="15" hidden="false" customHeight="false" outlineLevel="0" collapsed="false">
      <c r="A28" s="10" t="s">
        <v>1549</v>
      </c>
      <c r="B28" s="10" t="s">
        <v>1550</v>
      </c>
    </row>
    <row r="29" customFormat="false" ht="15" hidden="false" customHeight="false" outlineLevel="0" collapsed="false">
      <c r="A29" s="10" t="s">
        <v>1551</v>
      </c>
      <c r="B29" s="10" t="s">
        <v>1552</v>
      </c>
    </row>
    <row r="30" customFormat="false" ht="15" hidden="false" customHeight="false" outlineLevel="0" collapsed="false">
      <c r="A30" s="10" t="s">
        <v>1553</v>
      </c>
      <c r="B30" s="10" t="s">
        <v>1554</v>
      </c>
    </row>
    <row r="31" customFormat="false" ht="15" hidden="false" customHeight="false" outlineLevel="0" collapsed="false">
      <c r="A31" s="10" t="s">
        <v>1555</v>
      </c>
      <c r="B31" s="10" t="s">
        <v>1556</v>
      </c>
    </row>
    <row r="32" customFormat="false" ht="15" hidden="false" customHeight="false" outlineLevel="0" collapsed="false">
      <c r="A32" s="10" t="s">
        <v>1557</v>
      </c>
      <c r="B32" s="10" t="s">
        <v>1558</v>
      </c>
    </row>
    <row r="33" customFormat="false" ht="15" hidden="false" customHeight="false" outlineLevel="0" collapsed="false">
      <c r="A33" s="10" t="s">
        <v>60</v>
      </c>
      <c r="B33" s="10" t="s">
        <v>1559</v>
      </c>
    </row>
    <row r="34" customFormat="false" ht="15" hidden="false" customHeight="false" outlineLevel="0" collapsed="false">
      <c r="A34" s="10" t="s">
        <v>1560</v>
      </c>
      <c r="B34" s="10" t="s">
        <v>1561</v>
      </c>
    </row>
    <row r="35" customFormat="false" ht="15" hidden="false" customHeight="false" outlineLevel="0" collapsed="false">
      <c r="A35" s="10" t="s">
        <v>1562</v>
      </c>
      <c r="B35" s="10" t="s">
        <v>1563</v>
      </c>
    </row>
    <row r="36" customFormat="false" ht="15" hidden="false" customHeight="false" outlineLevel="0" collapsed="false">
      <c r="A36" s="10" t="s">
        <v>1564</v>
      </c>
      <c r="B36" s="10" t="s">
        <v>1565</v>
      </c>
    </row>
    <row r="37" customFormat="false" ht="15" hidden="false" customHeight="false" outlineLevel="0" collapsed="false">
      <c r="A37" s="10" t="s">
        <v>1566</v>
      </c>
      <c r="B37" s="10" t="s">
        <v>1567</v>
      </c>
    </row>
    <row r="38" customFormat="false" ht="15" hidden="false" customHeight="false" outlineLevel="0" collapsed="false">
      <c r="A38" s="10" t="s">
        <v>1568</v>
      </c>
      <c r="B38" s="10" t="s">
        <v>1569</v>
      </c>
    </row>
    <row r="39" customFormat="false" ht="15" hidden="false" customHeight="false" outlineLevel="0" collapsed="false">
      <c r="A39" s="10" t="s">
        <v>1570</v>
      </c>
      <c r="B39" s="10" t="s">
        <v>1571</v>
      </c>
    </row>
    <row r="40" customFormat="false" ht="15" hidden="false" customHeight="false" outlineLevel="0" collapsed="false">
      <c r="A40" s="10" t="s">
        <v>1572</v>
      </c>
      <c r="B40" s="10" t="s">
        <v>1573</v>
      </c>
    </row>
    <row r="41" customFormat="false" ht="15" hidden="false" customHeight="false" outlineLevel="0" collapsed="false">
      <c r="A41" s="10" t="s">
        <v>1574</v>
      </c>
      <c r="B41" s="10" t="s">
        <v>1575</v>
      </c>
    </row>
    <row r="42" customFormat="false" ht="15" hidden="false" customHeight="false" outlineLevel="0" collapsed="false">
      <c r="A42" s="10" t="s">
        <v>1576</v>
      </c>
      <c r="B42" s="10" t="s">
        <v>1577</v>
      </c>
    </row>
    <row r="43" customFormat="false" ht="15" hidden="false" customHeight="false" outlineLevel="0" collapsed="false">
      <c r="A43" s="10" t="s">
        <v>1578</v>
      </c>
      <c r="B43" s="10" t="s">
        <v>1579</v>
      </c>
    </row>
    <row r="44" customFormat="false" ht="15" hidden="false" customHeight="false" outlineLevel="0" collapsed="false">
      <c r="A44" s="10" t="s">
        <v>1580</v>
      </c>
      <c r="B44" s="10" t="s">
        <v>1581</v>
      </c>
    </row>
    <row r="45" customFormat="false" ht="15" hidden="false" customHeight="false" outlineLevel="0" collapsed="false">
      <c r="A45" s="10" t="s">
        <v>1582</v>
      </c>
      <c r="B45" s="10" t="s">
        <v>1583</v>
      </c>
    </row>
    <row r="46" customFormat="false" ht="15" hidden="false" customHeight="false" outlineLevel="0" collapsed="false">
      <c r="A46" s="10" t="s">
        <v>1584</v>
      </c>
      <c r="B46" s="10" t="s">
        <v>1585</v>
      </c>
    </row>
    <row r="47" customFormat="false" ht="15" hidden="false" customHeight="false" outlineLevel="0" collapsed="false">
      <c r="A47" s="10" t="s">
        <v>1586</v>
      </c>
      <c r="B47" s="10" t="s">
        <v>1587</v>
      </c>
    </row>
    <row r="48" customFormat="false" ht="15" hidden="false" customHeight="false" outlineLevel="0" collapsed="false">
      <c r="A48" s="10" t="s">
        <v>1588</v>
      </c>
      <c r="B48" s="10" t="s">
        <v>1589</v>
      </c>
    </row>
    <row r="49" customFormat="false" ht="15" hidden="false" customHeight="false" outlineLevel="0" collapsed="false">
      <c r="A49" s="10" t="s">
        <v>1590</v>
      </c>
      <c r="B49" s="10" t="s">
        <v>1591</v>
      </c>
    </row>
    <row r="50" customFormat="false" ht="15" hidden="false" customHeight="false" outlineLevel="0" collapsed="false">
      <c r="A50" s="10" t="s">
        <v>1592</v>
      </c>
      <c r="B50" s="10" t="s">
        <v>1593</v>
      </c>
    </row>
    <row r="51" customFormat="false" ht="15" hidden="false" customHeight="false" outlineLevel="0" collapsed="false">
      <c r="A51" s="10" t="s">
        <v>1594</v>
      </c>
      <c r="B51" s="10" t="s">
        <v>1595</v>
      </c>
    </row>
    <row r="52" customFormat="false" ht="15" hidden="false" customHeight="false" outlineLevel="0" collapsed="false">
      <c r="A52" s="10" t="s">
        <v>1596</v>
      </c>
      <c r="B52" s="10" t="s">
        <v>1597</v>
      </c>
    </row>
    <row r="53" customFormat="false" ht="15" hidden="false" customHeight="false" outlineLevel="0" collapsed="false">
      <c r="A53" s="10" t="s">
        <v>1598</v>
      </c>
      <c r="B53" s="10" t="s">
        <v>1599</v>
      </c>
    </row>
    <row r="54" customFormat="false" ht="15" hidden="false" customHeight="false" outlineLevel="0" collapsed="false">
      <c r="A54" s="10" t="s">
        <v>1600</v>
      </c>
      <c r="B54" s="10" t="s">
        <v>1601</v>
      </c>
    </row>
    <row r="55" customFormat="false" ht="15" hidden="false" customHeight="false" outlineLevel="0" collapsed="false">
      <c r="A55" s="10" t="s">
        <v>1602</v>
      </c>
      <c r="B55" s="10" t="s">
        <v>1603</v>
      </c>
    </row>
    <row r="56" customFormat="false" ht="15" hidden="false" customHeight="false" outlineLevel="0" collapsed="false">
      <c r="A56" s="10" t="s">
        <v>1604</v>
      </c>
      <c r="B56" s="10" t="s">
        <v>1605</v>
      </c>
    </row>
    <row r="57" customFormat="false" ht="15" hidden="false" customHeight="false" outlineLevel="0" collapsed="false">
      <c r="A57" s="10" t="s">
        <v>1606</v>
      </c>
      <c r="B57" s="10" t="s">
        <v>1607</v>
      </c>
    </row>
    <row r="58" customFormat="false" ht="15" hidden="false" customHeight="false" outlineLevel="0" collapsed="false">
      <c r="A58" s="10" t="s">
        <v>1608</v>
      </c>
      <c r="B58" s="10" t="s">
        <v>1609</v>
      </c>
    </row>
    <row r="59" customFormat="false" ht="15" hidden="false" customHeight="false" outlineLevel="0" collapsed="false">
      <c r="A59" s="10" t="s">
        <v>1610</v>
      </c>
      <c r="B59" s="10" t="s">
        <v>1611</v>
      </c>
    </row>
    <row r="60" customFormat="false" ht="15" hidden="false" customHeight="false" outlineLevel="0" collapsed="false">
      <c r="A60" s="10" t="s">
        <v>1612</v>
      </c>
      <c r="B60" s="10" t="s">
        <v>1613</v>
      </c>
    </row>
    <row r="61" customFormat="false" ht="15" hidden="false" customHeight="false" outlineLevel="0" collapsed="false">
      <c r="A61" s="10" t="s">
        <v>1614</v>
      </c>
      <c r="B61" s="10" t="s">
        <v>1615</v>
      </c>
    </row>
    <row r="62" customFormat="false" ht="15" hidden="false" customHeight="false" outlineLevel="0" collapsed="false">
      <c r="A62" s="10" t="s">
        <v>1616</v>
      </c>
      <c r="B62" s="10" t="s">
        <v>1617</v>
      </c>
    </row>
    <row r="63" customFormat="false" ht="15" hidden="false" customHeight="false" outlineLevel="0" collapsed="false">
      <c r="A63" s="10" t="s">
        <v>1618</v>
      </c>
      <c r="B63" s="10" t="s">
        <v>1619</v>
      </c>
    </row>
    <row r="64" customFormat="false" ht="15" hidden="false" customHeight="false" outlineLevel="0" collapsed="false">
      <c r="A64" s="10" t="s">
        <v>1620</v>
      </c>
      <c r="B64" s="10" t="s">
        <v>1621</v>
      </c>
    </row>
    <row r="65" customFormat="false" ht="15" hidden="false" customHeight="false" outlineLevel="0" collapsed="false">
      <c r="A65" s="10" t="s">
        <v>1622</v>
      </c>
      <c r="B65" s="10" t="s">
        <v>1623</v>
      </c>
    </row>
    <row r="66" customFormat="false" ht="15" hidden="false" customHeight="false" outlineLevel="0" collapsed="false">
      <c r="A66" s="10" t="s">
        <v>1624</v>
      </c>
      <c r="B66" s="10" t="s">
        <v>1625</v>
      </c>
    </row>
    <row r="67" customFormat="false" ht="15" hidden="false" customHeight="false" outlineLevel="0" collapsed="false">
      <c r="A67" s="10" t="s">
        <v>1626</v>
      </c>
      <c r="B67" s="10" t="s">
        <v>1627</v>
      </c>
    </row>
    <row r="68" customFormat="false" ht="15" hidden="false" customHeight="false" outlineLevel="0" collapsed="false">
      <c r="A68" s="10" t="s">
        <v>1628</v>
      </c>
      <c r="B68" s="10" t="s">
        <v>1629</v>
      </c>
    </row>
    <row r="69" customFormat="false" ht="15" hidden="false" customHeight="false" outlineLevel="0" collapsed="false">
      <c r="A69" s="10" t="s">
        <v>1630</v>
      </c>
      <c r="B69" s="10" t="s">
        <v>1631</v>
      </c>
    </row>
    <row r="70" customFormat="false" ht="15" hidden="false" customHeight="false" outlineLevel="0" collapsed="false">
      <c r="A70" s="10" t="s">
        <v>1632</v>
      </c>
      <c r="B70" s="10" t="s">
        <v>1633</v>
      </c>
    </row>
    <row r="71" customFormat="false" ht="15" hidden="false" customHeight="false" outlineLevel="0" collapsed="false">
      <c r="A71" s="10" t="s">
        <v>1634</v>
      </c>
      <c r="B71" s="10" t="s">
        <v>1635</v>
      </c>
    </row>
    <row r="72" customFormat="false" ht="15" hidden="false" customHeight="false" outlineLevel="0" collapsed="false">
      <c r="A72" s="10" t="s">
        <v>1636</v>
      </c>
      <c r="B72" s="10" t="s">
        <v>1637</v>
      </c>
    </row>
    <row r="73" customFormat="false" ht="15" hidden="false" customHeight="false" outlineLevel="0" collapsed="false">
      <c r="A73" s="10" t="s">
        <v>1638</v>
      </c>
      <c r="B73" s="10" t="s">
        <v>1639</v>
      </c>
    </row>
    <row r="74" customFormat="false" ht="15" hidden="false" customHeight="false" outlineLevel="0" collapsed="false">
      <c r="A74" s="10" t="s">
        <v>1640</v>
      </c>
      <c r="B74" s="10" t="s">
        <v>1641</v>
      </c>
    </row>
    <row r="75" customFormat="false" ht="15" hidden="false" customHeight="false" outlineLevel="0" collapsed="false">
      <c r="A75" s="10" t="s">
        <v>1642</v>
      </c>
      <c r="B75" s="10" t="s">
        <v>1643</v>
      </c>
    </row>
    <row r="76" customFormat="false" ht="15" hidden="false" customHeight="false" outlineLevel="0" collapsed="false">
      <c r="A76" s="10" t="s">
        <v>1644</v>
      </c>
      <c r="B76" s="10" t="s">
        <v>1645</v>
      </c>
    </row>
    <row r="77" customFormat="false" ht="15" hidden="false" customHeight="false" outlineLevel="0" collapsed="false">
      <c r="A77" s="10" t="s">
        <v>1646</v>
      </c>
      <c r="B77" s="10" t="s">
        <v>1647</v>
      </c>
    </row>
    <row r="78" customFormat="false" ht="15" hidden="false" customHeight="false" outlineLevel="0" collapsed="false">
      <c r="A78" s="10" t="s">
        <v>1648</v>
      </c>
      <c r="B78" s="10" t="s">
        <v>1649</v>
      </c>
    </row>
    <row r="79" customFormat="false" ht="15" hidden="false" customHeight="false" outlineLevel="0" collapsed="false">
      <c r="A79" s="10" t="s">
        <v>1650</v>
      </c>
      <c r="B79" s="10" t="s">
        <v>1651</v>
      </c>
    </row>
    <row r="80" customFormat="false" ht="15" hidden="false" customHeight="false" outlineLevel="0" collapsed="false">
      <c r="A80" s="10" t="s">
        <v>1652</v>
      </c>
      <c r="B80" s="10" t="s">
        <v>1653</v>
      </c>
    </row>
    <row r="81" customFormat="false" ht="15" hidden="false" customHeight="false" outlineLevel="0" collapsed="false">
      <c r="A81" s="10" t="s">
        <v>1654</v>
      </c>
      <c r="B81" s="10" t="s">
        <v>1655</v>
      </c>
    </row>
    <row r="82" customFormat="false" ht="15" hidden="false" customHeight="false" outlineLevel="0" collapsed="false">
      <c r="A82" s="10" t="s">
        <v>1656</v>
      </c>
      <c r="B82" s="10" t="s">
        <v>1657</v>
      </c>
    </row>
    <row r="83" customFormat="false" ht="15" hidden="false" customHeight="false" outlineLevel="0" collapsed="false">
      <c r="A83" s="10" t="s">
        <v>1658</v>
      </c>
      <c r="B83" s="10" t="s">
        <v>1659</v>
      </c>
    </row>
    <row r="84" customFormat="false" ht="15" hidden="false" customHeight="false" outlineLevel="0" collapsed="false">
      <c r="A84" s="10" t="s">
        <v>1660</v>
      </c>
      <c r="B84" s="10" t="s">
        <v>1661</v>
      </c>
    </row>
    <row r="85" customFormat="false" ht="15" hidden="false" customHeight="false" outlineLevel="0" collapsed="false">
      <c r="A85" s="10" t="s">
        <v>1662</v>
      </c>
      <c r="B85" s="10" t="s">
        <v>1663</v>
      </c>
    </row>
    <row r="86" customFormat="false" ht="15" hidden="false" customHeight="false" outlineLevel="0" collapsed="false">
      <c r="A86" s="10" t="s">
        <v>1664</v>
      </c>
      <c r="B86" s="10" t="s">
        <v>1665</v>
      </c>
    </row>
    <row r="87" customFormat="false" ht="15" hidden="false" customHeight="false" outlineLevel="0" collapsed="false">
      <c r="A87" s="10" t="s">
        <v>1666</v>
      </c>
      <c r="B87" s="10" t="s">
        <v>1667</v>
      </c>
    </row>
    <row r="88" customFormat="false" ht="15" hidden="false" customHeight="false" outlineLevel="0" collapsed="false">
      <c r="A88" s="10" t="s">
        <v>1668</v>
      </c>
      <c r="B88" s="10" t="s">
        <v>1669</v>
      </c>
    </row>
    <row r="89" customFormat="false" ht="15" hidden="false" customHeight="false" outlineLevel="0" collapsed="false">
      <c r="A89" s="10" t="s">
        <v>1670</v>
      </c>
      <c r="B89" s="10" t="s">
        <v>1671</v>
      </c>
    </row>
    <row r="90" customFormat="false" ht="15" hidden="false" customHeight="false" outlineLevel="0" collapsed="false">
      <c r="A90" s="10" t="s">
        <v>1672</v>
      </c>
      <c r="B90" s="10" t="s">
        <v>1673</v>
      </c>
    </row>
    <row r="91" customFormat="false" ht="15" hidden="false" customHeight="false" outlineLevel="0" collapsed="false">
      <c r="A91" s="10" t="s">
        <v>1674</v>
      </c>
      <c r="B91" s="10" t="s">
        <v>1675</v>
      </c>
    </row>
    <row r="92" customFormat="false" ht="15" hidden="false" customHeight="false" outlineLevel="0" collapsed="false">
      <c r="A92" s="10" t="s">
        <v>1676</v>
      </c>
      <c r="B92" s="10" t="s">
        <v>1677</v>
      </c>
    </row>
    <row r="93" customFormat="false" ht="15" hidden="false" customHeight="false" outlineLevel="0" collapsed="false">
      <c r="A93" s="10" t="s">
        <v>1678</v>
      </c>
      <c r="B93" s="10" t="s">
        <v>1679</v>
      </c>
    </row>
    <row r="94" customFormat="false" ht="15" hidden="false" customHeight="false" outlineLevel="0" collapsed="false">
      <c r="A94" s="10" t="s">
        <v>1680</v>
      </c>
      <c r="B94" s="10" t="s">
        <v>1681</v>
      </c>
    </row>
    <row r="95" customFormat="false" ht="15" hidden="false" customHeight="false" outlineLevel="0" collapsed="false">
      <c r="A95" s="10" t="s">
        <v>1682</v>
      </c>
      <c r="B95" s="10" t="s">
        <v>1683</v>
      </c>
    </row>
    <row r="96" customFormat="false" ht="15" hidden="false" customHeight="false" outlineLevel="0" collapsed="false">
      <c r="A96" s="10" t="s">
        <v>1684</v>
      </c>
      <c r="B96" s="10" t="s">
        <v>1685</v>
      </c>
    </row>
    <row r="97" customFormat="false" ht="15" hidden="false" customHeight="false" outlineLevel="0" collapsed="false">
      <c r="A97" s="10" t="s">
        <v>1686</v>
      </c>
      <c r="B97" s="10" t="s">
        <v>1687</v>
      </c>
    </row>
    <row r="98" customFormat="false" ht="15" hidden="false" customHeight="false" outlineLevel="0" collapsed="false">
      <c r="A98" s="10" t="s">
        <v>1688</v>
      </c>
      <c r="B98" s="10" t="s">
        <v>1689</v>
      </c>
    </row>
    <row r="99" customFormat="false" ht="15" hidden="false" customHeight="false" outlineLevel="0" collapsed="false">
      <c r="A99" s="10" t="s">
        <v>1690</v>
      </c>
      <c r="B99" s="10" t="s">
        <v>1691</v>
      </c>
    </row>
    <row r="100" customFormat="false" ht="15" hidden="false" customHeight="false" outlineLevel="0" collapsed="false">
      <c r="A100" s="10" t="s">
        <v>1692</v>
      </c>
      <c r="B100" s="10" t="s">
        <v>1693</v>
      </c>
    </row>
    <row r="101" customFormat="false" ht="15" hidden="false" customHeight="false" outlineLevel="0" collapsed="false">
      <c r="A101" s="10" t="s">
        <v>1694</v>
      </c>
      <c r="B101" s="10" t="s">
        <v>1695</v>
      </c>
    </row>
    <row r="102" customFormat="false" ht="15" hidden="false" customHeight="false" outlineLevel="0" collapsed="false">
      <c r="A102" s="10" t="s">
        <v>1696</v>
      </c>
      <c r="B102" s="10" t="s">
        <v>1697</v>
      </c>
    </row>
    <row r="103" customFormat="false" ht="15" hidden="false" customHeight="false" outlineLevel="0" collapsed="false">
      <c r="A103" s="10" t="s">
        <v>1698</v>
      </c>
      <c r="B103" s="10" t="s">
        <v>1699</v>
      </c>
    </row>
    <row r="104" customFormat="false" ht="15" hidden="false" customHeight="false" outlineLevel="0" collapsed="false">
      <c r="A104" s="10" t="s">
        <v>1700</v>
      </c>
      <c r="B104" s="10" t="s">
        <v>1701</v>
      </c>
    </row>
    <row r="105" customFormat="false" ht="15" hidden="false" customHeight="false" outlineLevel="0" collapsed="false">
      <c r="A105" s="10" t="s">
        <v>1702</v>
      </c>
      <c r="B105" s="10" t="s">
        <v>1703</v>
      </c>
    </row>
    <row r="106" customFormat="false" ht="15" hidden="false" customHeight="false" outlineLevel="0" collapsed="false">
      <c r="A106" s="10" t="s">
        <v>1704</v>
      </c>
      <c r="B106" s="10" t="s">
        <v>1705</v>
      </c>
    </row>
    <row r="107" customFormat="false" ht="15" hidden="false" customHeight="false" outlineLevel="0" collapsed="false">
      <c r="A107" s="10" t="s">
        <v>1706</v>
      </c>
      <c r="B107" s="10" t="s">
        <v>1707</v>
      </c>
    </row>
    <row r="108" customFormat="false" ht="15" hidden="false" customHeight="false" outlineLevel="0" collapsed="false">
      <c r="A108" s="10" t="s">
        <v>1708</v>
      </c>
      <c r="B108" s="10" t="s">
        <v>1709</v>
      </c>
    </row>
    <row r="109" customFormat="false" ht="15" hidden="false" customHeight="false" outlineLevel="0" collapsed="false">
      <c r="A109" s="10" t="s">
        <v>1710</v>
      </c>
      <c r="B109" s="10" t="s">
        <v>1711</v>
      </c>
    </row>
    <row r="110" customFormat="false" ht="15" hidden="false" customHeight="false" outlineLevel="0" collapsed="false">
      <c r="A110" s="10" t="s">
        <v>1712</v>
      </c>
      <c r="B110" s="10" t="s">
        <v>1713</v>
      </c>
    </row>
    <row r="111" customFormat="false" ht="15" hidden="false" customHeight="false" outlineLevel="0" collapsed="false">
      <c r="A111" s="10" t="s">
        <v>1714</v>
      </c>
      <c r="B111" s="10" t="s">
        <v>1715</v>
      </c>
    </row>
    <row r="112" customFormat="false" ht="15" hidden="false" customHeight="false" outlineLevel="0" collapsed="false">
      <c r="A112" s="10" t="s">
        <v>1716</v>
      </c>
      <c r="B112" s="10" t="s">
        <v>1717</v>
      </c>
    </row>
    <row r="113" customFormat="false" ht="15" hidden="false" customHeight="false" outlineLevel="0" collapsed="false">
      <c r="A113" s="10" t="s">
        <v>1718</v>
      </c>
      <c r="B113" s="10" t="s">
        <v>1719</v>
      </c>
    </row>
    <row r="114" customFormat="false" ht="15" hidden="false" customHeight="false" outlineLevel="0" collapsed="false">
      <c r="A114" s="10" t="s">
        <v>1720</v>
      </c>
      <c r="B114" s="10" t="s">
        <v>1721</v>
      </c>
    </row>
    <row r="115" customFormat="false" ht="15" hidden="false" customHeight="false" outlineLevel="0" collapsed="false">
      <c r="A115" s="10" t="s">
        <v>1722</v>
      </c>
      <c r="B115" s="10" t="s">
        <v>1723</v>
      </c>
    </row>
    <row r="116" customFormat="false" ht="15" hidden="false" customHeight="false" outlineLevel="0" collapsed="false">
      <c r="A116" s="10" t="s">
        <v>1724</v>
      </c>
      <c r="B116" s="10" t="s">
        <v>1725</v>
      </c>
    </row>
    <row r="117" customFormat="false" ht="15" hidden="false" customHeight="false" outlineLevel="0" collapsed="false">
      <c r="A117" s="10" t="s">
        <v>1726</v>
      </c>
      <c r="B117" s="10" t="s">
        <v>1727</v>
      </c>
    </row>
    <row r="118" customFormat="false" ht="15" hidden="false" customHeight="false" outlineLevel="0" collapsed="false">
      <c r="A118" s="10" t="s">
        <v>1728</v>
      </c>
      <c r="B118" s="10" t="s">
        <v>1729</v>
      </c>
    </row>
    <row r="119" customFormat="false" ht="15" hidden="false" customHeight="false" outlineLevel="0" collapsed="false">
      <c r="A119" s="10" t="s">
        <v>1730</v>
      </c>
      <c r="B119" s="10" t="s">
        <v>1731</v>
      </c>
    </row>
    <row r="120" customFormat="false" ht="15" hidden="false" customHeight="false" outlineLevel="0" collapsed="false">
      <c r="A120" s="10" t="s">
        <v>1732</v>
      </c>
      <c r="B120" s="10" t="s">
        <v>1733</v>
      </c>
    </row>
    <row r="121" customFormat="false" ht="15" hidden="false" customHeight="false" outlineLevel="0" collapsed="false">
      <c r="A121" s="10" t="s">
        <v>1734</v>
      </c>
      <c r="B121" s="10" t="s">
        <v>1735</v>
      </c>
    </row>
    <row r="122" customFormat="false" ht="15" hidden="false" customHeight="false" outlineLevel="0" collapsed="false">
      <c r="A122" s="10" t="s">
        <v>1736</v>
      </c>
      <c r="B122" s="10" t="s">
        <v>1737</v>
      </c>
    </row>
    <row r="123" customFormat="false" ht="15" hidden="false" customHeight="false" outlineLevel="0" collapsed="false">
      <c r="A123" s="10" t="s">
        <v>1738</v>
      </c>
      <c r="B123" s="10" t="s">
        <v>1739</v>
      </c>
    </row>
    <row r="124" customFormat="false" ht="15" hidden="false" customHeight="false" outlineLevel="0" collapsed="false">
      <c r="A124" s="10" t="s">
        <v>1740</v>
      </c>
      <c r="B124" s="10" t="s">
        <v>1741</v>
      </c>
    </row>
    <row r="125" customFormat="false" ht="15" hidden="false" customHeight="false" outlineLevel="0" collapsed="false">
      <c r="A125" s="10" t="s">
        <v>1742</v>
      </c>
      <c r="B125" s="10" t="s">
        <v>1743</v>
      </c>
    </row>
    <row r="126" customFormat="false" ht="15" hidden="false" customHeight="false" outlineLevel="0" collapsed="false">
      <c r="A126" s="10" t="s">
        <v>1744</v>
      </c>
      <c r="B126" s="10" t="s">
        <v>1745</v>
      </c>
    </row>
    <row r="127" customFormat="false" ht="15" hidden="false" customHeight="false" outlineLevel="0" collapsed="false">
      <c r="A127" s="10" t="s">
        <v>1746</v>
      </c>
      <c r="B127" s="10" t="s">
        <v>1747</v>
      </c>
    </row>
    <row r="128" customFormat="false" ht="15" hidden="false" customHeight="false" outlineLevel="0" collapsed="false">
      <c r="A128" s="10" t="s">
        <v>1748</v>
      </c>
      <c r="B128" s="10" t="s">
        <v>1749</v>
      </c>
    </row>
    <row r="129" customFormat="false" ht="15" hidden="false" customHeight="false" outlineLevel="0" collapsed="false">
      <c r="A129" s="10" t="s">
        <v>1750</v>
      </c>
      <c r="B129" s="10" t="s">
        <v>1751</v>
      </c>
    </row>
    <row r="130" customFormat="false" ht="15" hidden="false" customHeight="false" outlineLevel="0" collapsed="false">
      <c r="A130" s="10" t="s">
        <v>1752</v>
      </c>
      <c r="B130" s="10" t="s">
        <v>1753</v>
      </c>
    </row>
    <row r="131" customFormat="false" ht="15" hidden="false" customHeight="false" outlineLevel="0" collapsed="false">
      <c r="A131" s="10" t="s">
        <v>1754</v>
      </c>
      <c r="B131" s="10" t="s">
        <v>1755</v>
      </c>
    </row>
    <row r="132" customFormat="false" ht="15" hidden="false" customHeight="false" outlineLevel="0" collapsed="false">
      <c r="A132" s="10" t="s">
        <v>1756</v>
      </c>
      <c r="B132" s="10" t="s">
        <v>1757</v>
      </c>
    </row>
    <row r="133" customFormat="false" ht="15" hidden="false" customHeight="false" outlineLevel="0" collapsed="false">
      <c r="A133" s="10" t="s">
        <v>1758</v>
      </c>
      <c r="B133" s="10" t="s">
        <v>1759</v>
      </c>
    </row>
    <row r="134" customFormat="false" ht="15" hidden="false" customHeight="false" outlineLevel="0" collapsed="false">
      <c r="A134" s="10" t="s">
        <v>1760</v>
      </c>
      <c r="B134" s="10" t="s">
        <v>1761</v>
      </c>
    </row>
    <row r="135" customFormat="false" ht="15" hidden="false" customHeight="false" outlineLevel="0" collapsed="false">
      <c r="A135" s="10" t="s">
        <v>1762</v>
      </c>
      <c r="B135" s="10" t="s">
        <v>1763</v>
      </c>
    </row>
    <row r="136" customFormat="false" ht="15" hidden="false" customHeight="false" outlineLevel="0" collapsed="false">
      <c r="A136" s="10" t="s">
        <v>1764</v>
      </c>
      <c r="B136" s="10" t="s">
        <v>1765</v>
      </c>
    </row>
    <row r="137" customFormat="false" ht="15" hidden="false" customHeight="false" outlineLevel="0" collapsed="false">
      <c r="A137" s="10" t="s">
        <v>1766</v>
      </c>
      <c r="B137" s="10" t="s">
        <v>1767</v>
      </c>
    </row>
    <row r="138" customFormat="false" ht="15" hidden="false" customHeight="false" outlineLevel="0" collapsed="false">
      <c r="A138" s="10" t="s">
        <v>1768</v>
      </c>
      <c r="B138" s="10" t="s">
        <v>1769</v>
      </c>
    </row>
    <row r="139" customFormat="false" ht="15" hidden="false" customHeight="false" outlineLevel="0" collapsed="false">
      <c r="A139" s="10" t="s">
        <v>1770</v>
      </c>
      <c r="B139" s="10" t="s">
        <v>1771</v>
      </c>
    </row>
    <row r="140" customFormat="false" ht="15" hidden="false" customHeight="false" outlineLevel="0" collapsed="false">
      <c r="A140" s="10" t="s">
        <v>1772</v>
      </c>
      <c r="B140" s="10" t="s">
        <v>1773</v>
      </c>
    </row>
    <row r="141" customFormat="false" ht="15" hidden="false" customHeight="false" outlineLevel="0" collapsed="false">
      <c r="A141" s="10" t="s">
        <v>1774</v>
      </c>
      <c r="B141" s="10" t="s">
        <v>1775</v>
      </c>
    </row>
    <row r="142" customFormat="false" ht="15" hidden="false" customHeight="false" outlineLevel="0" collapsed="false">
      <c r="A142" s="10" t="s">
        <v>1776</v>
      </c>
      <c r="B142" s="10" t="s">
        <v>1777</v>
      </c>
    </row>
    <row r="143" customFormat="false" ht="15" hidden="false" customHeight="false" outlineLevel="0" collapsed="false">
      <c r="A143" s="10" t="s">
        <v>1778</v>
      </c>
      <c r="B143" s="10" t="s">
        <v>1779</v>
      </c>
    </row>
    <row r="144" customFormat="false" ht="15" hidden="false" customHeight="false" outlineLevel="0" collapsed="false">
      <c r="A144" s="10" t="s">
        <v>1780</v>
      </c>
      <c r="B144" s="10" t="s">
        <v>1781</v>
      </c>
    </row>
    <row r="145" customFormat="false" ht="15" hidden="false" customHeight="false" outlineLevel="0" collapsed="false">
      <c r="A145" s="10" t="s">
        <v>1782</v>
      </c>
      <c r="B145" s="10" t="s">
        <v>1783</v>
      </c>
    </row>
    <row r="146" customFormat="false" ht="15" hidden="false" customHeight="false" outlineLevel="0" collapsed="false">
      <c r="A146" s="10" t="s">
        <v>1784</v>
      </c>
      <c r="B146" s="10" t="s">
        <v>1785</v>
      </c>
    </row>
    <row r="147" customFormat="false" ht="15" hidden="false" customHeight="false" outlineLevel="0" collapsed="false">
      <c r="A147" s="10" t="s">
        <v>1786</v>
      </c>
      <c r="B147" s="10" t="s">
        <v>1787</v>
      </c>
    </row>
    <row r="148" customFormat="false" ht="15" hidden="false" customHeight="false" outlineLevel="0" collapsed="false">
      <c r="A148" s="10" t="s">
        <v>1788</v>
      </c>
      <c r="B148" s="10" t="s">
        <v>1789</v>
      </c>
    </row>
    <row r="149" customFormat="false" ht="15" hidden="false" customHeight="false" outlineLevel="0" collapsed="false">
      <c r="A149" s="10" t="s">
        <v>1790</v>
      </c>
      <c r="B149" s="10" t="s">
        <v>1791</v>
      </c>
    </row>
    <row r="150" customFormat="false" ht="15" hidden="false" customHeight="false" outlineLevel="0" collapsed="false">
      <c r="A150" s="10" t="s">
        <v>1792</v>
      </c>
      <c r="B150" s="10" t="s">
        <v>1793</v>
      </c>
    </row>
    <row r="151" customFormat="false" ht="15" hidden="false" customHeight="false" outlineLevel="0" collapsed="false">
      <c r="A151" s="10" t="s">
        <v>1794</v>
      </c>
      <c r="B151" s="10" t="s">
        <v>1795</v>
      </c>
    </row>
    <row r="152" customFormat="false" ht="15" hidden="false" customHeight="false" outlineLevel="0" collapsed="false">
      <c r="A152" s="10" t="s">
        <v>1796</v>
      </c>
      <c r="B152" s="10" t="s">
        <v>1797</v>
      </c>
    </row>
    <row r="153" customFormat="false" ht="15" hidden="false" customHeight="false" outlineLevel="0" collapsed="false">
      <c r="A153" s="10" t="s">
        <v>1798</v>
      </c>
      <c r="B153" s="10" t="s">
        <v>1799</v>
      </c>
    </row>
    <row r="154" customFormat="false" ht="15" hidden="false" customHeight="false" outlineLevel="0" collapsed="false">
      <c r="A154" s="10" t="s">
        <v>1800</v>
      </c>
      <c r="B154" s="10" t="s">
        <v>1801</v>
      </c>
    </row>
    <row r="155" customFormat="false" ht="15" hidden="false" customHeight="false" outlineLevel="0" collapsed="false">
      <c r="A155" s="10" t="s">
        <v>1802</v>
      </c>
      <c r="B155" s="10" t="s">
        <v>1803</v>
      </c>
    </row>
    <row r="156" customFormat="false" ht="15" hidden="false" customHeight="false" outlineLevel="0" collapsed="false">
      <c r="A156" s="10" t="s">
        <v>1804</v>
      </c>
      <c r="B156" s="10" t="s">
        <v>1805</v>
      </c>
    </row>
    <row r="157" customFormat="false" ht="15" hidden="false" customHeight="false" outlineLevel="0" collapsed="false">
      <c r="A157" s="10" t="s">
        <v>1806</v>
      </c>
      <c r="B157" s="10" t="s">
        <v>1807</v>
      </c>
    </row>
    <row r="158" customFormat="false" ht="15" hidden="false" customHeight="false" outlineLevel="0" collapsed="false">
      <c r="A158" s="10" t="s">
        <v>1808</v>
      </c>
      <c r="B158" s="10" t="s">
        <v>1809</v>
      </c>
    </row>
    <row r="159" customFormat="false" ht="15" hidden="false" customHeight="false" outlineLevel="0" collapsed="false">
      <c r="A159" s="10" t="s">
        <v>1810</v>
      </c>
      <c r="B159" s="10" t="s">
        <v>1811</v>
      </c>
    </row>
    <row r="160" customFormat="false" ht="15" hidden="false" customHeight="false" outlineLevel="0" collapsed="false">
      <c r="A160" s="10" t="s">
        <v>1812</v>
      </c>
      <c r="B160" s="10" t="s">
        <v>1813</v>
      </c>
    </row>
    <row r="161" customFormat="false" ht="15" hidden="false" customHeight="false" outlineLevel="0" collapsed="false">
      <c r="A161" s="10" t="s">
        <v>1814</v>
      </c>
      <c r="B161" s="10" t="s">
        <v>1815</v>
      </c>
    </row>
    <row r="162" customFormat="false" ht="15" hidden="false" customHeight="false" outlineLevel="0" collapsed="false">
      <c r="A162" s="10" t="s">
        <v>1816</v>
      </c>
      <c r="B162" s="10" t="s">
        <v>1817</v>
      </c>
    </row>
    <row r="163" customFormat="false" ht="15" hidden="false" customHeight="false" outlineLevel="0" collapsed="false">
      <c r="A163" s="10" t="s">
        <v>1818</v>
      </c>
      <c r="B163" s="10" t="s">
        <v>1819</v>
      </c>
    </row>
    <row r="164" customFormat="false" ht="15" hidden="false" customHeight="false" outlineLevel="0" collapsed="false">
      <c r="A164" s="10" t="s">
        <v>1820</v>
      </c>
      <c r="B164" s="10" t="s">
        <v>1821</v>
      </c>
    </row>
    <row r="165" customFormat="false" ht="15" hidden="false" customHeight="false" outlineLevel="0" collapsed="false">
      <c r="A165" s="10" t="s">
        <v>1822</v>
      </c>
      <c r="B165" s="10" t="s">
        <v>1823</v>
      </c>
    </row>
    <row r="166" customFormat="false" ht="15" hidden="false" customHeight="false" outlineLevel="0" collapsed="false">
      <c r="A166" s="10" t="s">
        <v>1824</v>
      </c>
      <c r="B166" s="10" t="s">
        <v>1825</v>
      </c>
    </row>
    <row r="167" customFormat="false" ht="15" hidden="false" customHeight="false" outlineLevel="0" collapsed="false">
      <c r="A167" s="10" t="s">
        <v>1826</v>
      </c>
      <c r="B167" s="10" t="s">
        <v>1827</v>
      </c>
    </row>
    <row r="168" customFormat="false" ht="15" hidden="false" customHeight="false" outlineLevel="0" collapsed="false">
      <c r="A168" s="10" t="s">
        <v>1828</v>
      </c>
      <c r="B168" s="10" t="s">
        <v>1829</v>
      </c>
    </row>
    <row r="169" customFormat="false" ht="15" hidden="false" customHeight="false" outlineLevel="0" collapsed="false">
      <c r="A169" s="10" t="s">
        <v>1830</v>
      </c>
      <c r="B169" s="10" t="s">
        <v>1831</v>
      </c>
    </row>
    <row r="170" customFormat="false" ht="15" hidden="false" customHeight="false" outlineLevel="0" collapsed="false">
      <c r="A170" s="10" t="s">
        <v>1832</v>
      </c>
      <c r="B170" s="10" t="s">
        <v>1833</v>
      </c>
    </row>
    <row r="171" customFormat="false" ht="15" hidden="false" customHeight="false" outlineLevel="0" collapsed="false">
      <c r="A171" s="10" t="s">
        <v>1834</v>
      </c>
      <c r="B171" s="10" t="s">
        <v>1835</v>
      </c>
    </row>
    <row r="172" customFormat="false" ht="15" hidden="false" customHeight="false" outlineLevel="0" collapsed="false">
      <c r="A172" s="10" t="s">
        <v>1836</v>
      </c>
      <c r="B172" s="10" t="s">
        <v>1837</v>
      </c>
    </row>
    <row r="173" customFormat="false" ht="15" hidden="false" customHeight="false" outlineLevel="0" collapsed="false">
      <c r="A173" s="10" t="s">
        <v>1838</v>
      </c>
      <c r="B173" s="10" t="s">
        <v>1839</v>
      </c>
    </row>
    <row r="174" customFormat="false" ht="15" hidden="false" customHeight="false" outlineLevel="0" collapsed="false">
      <c r="A174" s="10" t="s">
        <v>1840</v>
      </c>
      <c r="B174" s="10" t="s">
        <v>1841</v>
      </c>
    </row>
    <row r="175" customFormat="false" ht="15" hidden="false" customHeight="false" outlineLevel="0" collapsed="false">
      <c r="A175" s="10" t="s">
        <v>1842</v>
      </c>
      <c r="B175" s="10" t="s">
        <v>1843</v>
      </c>
    </row>
    <row r="176" customFormat="false" ht="15" hidden="false" customHeight="false" outlineLevel="0" collapsed="false">
      <c r="A176" s="10" t="s">
        <v>1844</v>
      </c>
      <c r="B176" s="10" t="s">
        <v>1845</v>
      </c>
    </row>
    <row r="177" customFormat="false" ht="15" hidden="false" customHeight="false" outlineLevel="0" collapsed="false">
      <c r="A177" s="10" t="s">
        <v>1846</v>
      </c>
      <c r="B177" s="10" t="s">
        <v>1847</v>
      </c>
    </row>
    <row r="178" customFormat="false" ht="15" hidden="false" customHeight="false" outlineLevel="0" collapsed="false">
      <c r="A178" s="10" t="s">
        <v>1848</v>
      </c>
      <c r="B178" s="10" t="s">
        <v>1849</v>
      </c>
    </row>
    <row r="179" customFormat="false" ht="15" hidden="false" customHeight="false" outlineLevel="0" collapsed="false">
      <c r="A179" s="10" t="s">
        <v>1850</v>
      </c>
      <c r="B179" s="10" t="s">
        <v>1851</v>
      </c>
    </row>
    <row r="180" customFormat="false" ht="15" hidden="false" customHeight="false" outlineLevel="0" collapsed="false">
      <c r="A180" s="10" t="s">
        <v>1852</v>
      </c>
      <c r="B180" s="10" t="s">
        <v>1853</v>
      </c>
    </row>
    <row r="181" customFormat="false" ht="15" hidden="false" customHeight="false" outlineLevel="0" collapsed="false">
      <c r="A181" s="10" t="s">
        <v>1854</v>
      </c>
      <c r="B181" s="10" t="s">
        <v>1855</v>
      </c>
    </row>
    <row r="182" customFormat="false" ht="15" hidden="false" customHeight="false" outlineLevel="0" collapsed="false">
      <c r="A182" s="10" t="s">
        <v>1856</v>
      </c>
      <c r="B182" s="10" t="s">
        <v>1857</v>
      </c>
    </row>
    <row r="183" customFormat="false" ht="15" hidden="false" customHeight="false" outlineLevel="0" collapsed="false">
      <c r="A183" s="10" t="s">
        <v>1858</v>
      </c>
      <c r="B183" s="10" t="s">
        <v>1859</v>
      </c>
    </row>
    <row r="184" customFormat="false" ht="15" hidden="false" customHeight="false" outlineLevel="0" collapsed="false">
      <c r="A184" s="10" t="s">
        <v>1860</v>
      </c>
      <c r="B184" s="10" t="s">
        <v>1861</v>
      </c>
    </row>
    <row r="185" customFormat="false" ht="15" hidden="false" customHeight="false" outlineLevel="0" collapsed="false">
      <c r="A185" s="10" t="s">
        <v>1862</v>
      </c>
      <c r="B185" s="10" t="s">
        <v>1863</v>
      </c>
    </row>
    <row r="186" customFormat="false" ht="15" hidden="false" customHeight="false" outlineLevel="0" collapsed="false">
      <c r="A186" s="10" t="s">
        <v>1864</v>
      </c>
      <c r="B186" s="10" t="s">
        <v>1865</v>
      </c>
    </row>
    <row r="187" customFormat="false" ht="15" hidden="false" customHeight="false" outlineLevel="0" collapsed="false">
      <c r="A187" s="10" t="s">
        <v>1866</v>
      </c>
      <c r="B187" s="10" t="s">
        <v>1867</v>
      </c>
    </row>
    <row r="188" customFormat="false" ht="15" hidden="false" customHeight="false" outlineLevel="0" collapsed="false">
      <c r="A188" s="10" t="s">
        <v>1868</v>
      </c>
      <c r="B188" s="10" t="s">
        <v>1869</v>
      </c>
    </row>
    <row r="189" customFormat="false" ht="15" hidden="false" customHeight="false" outlineLevel="0" collapsed="false">
      <c r="A189" s="10" t="s">
        <v>1870</v>
      </c>
      <c r="B189" s="10" t="s">
        <v>1871</v>
      </c>
    </row>
    <row r="190" customFormat="false" ht="15" hidden="false" customHeight="false" outlineLevel="0" collapsed="false">
      <c r="A190" s="10" t="s">
        <v>1872</v>
      </c>
      <c r="B190" s="10" t="s">
        <v>1873</v>
      </c>
    </row>
    <row r="191" customFormat="false" ht="15" hidden="false" customHeight="false" outlineLevel="0" collapsed="false">
      <c r="A191" s="10" t="s">
        <v>1874</v>
      </c>
      <c r="B191" s="10" t="s">
        <v>1875</v>
      </c>
    </row>
    <row r="192" customFormat="false" ht="15" hidden="false" customHeight="false" outlineLevel="0" collapsed="false">
      <c r="A192" s="10" t="s">
        <v>1876</v>
      </c>
      <c r="B192" s="10" t="s">
        <v>1877</v>
      </c>
    </row>
    <row r="193" customFormat="false" ht="15" hidden="false" customHeight="false" outlineLevel="0" collapsed="false">
      <c r="A193" s="10" t="s">
        <v>1878</v>
      </c>
      <c r="B193" s="10" t="s">
        <v>1879</v>
      </c>
    </row>
    <row r="194" customFormat="false" ht="15" hidden="false" customHeight="false" outlineLevel="0" collapsed="false">
      <c r="A194" s="10" t="s">
        <v>1880</v>
      </c>
      <c r="B194" s="10" t="s">
        <v>1881</v>
      </c>
    </row>
    <row r="195" customFormat="false" ht="15" hidden="false" customHeight="false" outlineLevel="0" collapsed="false">
      <c r="A195" s="10" t="s">
        <v>1882</v>
      </c>
      <c r="B195" s="10" t="s">
        <v>1883</v>
      </c>
    </row>
    <row r="196" customFormat="false" ht="15" hidden="false" customHeight="false" outlineLevel="0" collapsed="false">
      <c r="A196" s="10" t="s">
        <v>1884</v>
      </c>
      <c r="B196" s="10" t="s">
        <v>1885</v>
      </c>
    </row>
    <row r="197" customFormat="false" ht="15" hidden="false" customHeight="false" outlineLevel="0" collapsed="false">
      <c r="A197" s="10" t="s">
        <v>1886</v>
      </c>
      <c r="B197" s="10" t="s">
        <v>1887</v>
      </c>
    </row>
    <row r="198" customFormat="false" ht="15" hidden="false" customHeight="false" outlineLevel="0" collapsed="false">
      <c r="A198" s="10" t="s">
        <v>1888</v>
      </c>
      <c r="B198" s="10" t="s">
        <v>1889</v>
      </c>
    </row>
    <row r="199" customFormat="false" ht="15" hidden="false" customHeight="false" outlineLevel="0" collapsed="false">
      <c r="A199" s="10" t="s">
        <v>1890</v>
      </c>
      <c r="B199" s="10" t="s">
        <v>1891</v>
      </c>
    </row>
    <row r="200" customFormat="false" ht="15" hidden="false" customHeight="false" outlineLevel="0" collapsed="false">
      <c r="A200" s="10" t="s">
        <v>1892</v>
      </c>
      <c r="B200" s="10" t="s">
        <v>1893</v>
      </c>
    </row>
    <row r="201" customFormat="false" ht="15" hidden="false" customHeight="false" outlineLevel="0" collapsed="false">
      <c r="A201" s="10" t="s">
        <v>1894</v>
      </c>
      <c r="B201" s="10" t="s">
        <v>1895</v>
      </c>
    </row>
    <row r="202" customFormat="false" ht="15" hidden="false" customHeight="false" outlineLevel="0" collapsed="false">
      <c r="A202" s="10" t="s">
        <v>1896</v>
      </c>
      <c r="B202" s="10" t="s">
        <v>1897</v>
      </c>
    </row>
    <row r="203" customFormat="false" ht="15" hidden="false" customHeight="false" outlineLevel="0" collapsed="false">
      <c r="A203" s="10" t="s">
        <v>1898</v>
      </c>
      <c r="B203" s="10" t="s">
        <v>1899</v>
      </c>
    </row>
    <row r="204" customFormat="false" ht="15" hidden="false" customHeight="false" outlineLevel="0" collapsed="false">
      <c r="A204" s="10" t="s">
        <v>1900</v>
      </c>
      <c r="B204" s="10" t="s">
        <v>1901</v>
      </c>
    </row>
    <row r="205" customFormat="false" ht="15" hidden="false" customHeight="false" outlineLevel="0" collapsed="false">
      <c r="A205" s="10" t="s">
        <v>1902</v>
      </c>
      <c r="B205" s="10" t="s">
        <v>1903</v>
      </c>
    </row>
    <row r="206" customFormat="false" ht="15" hidden="false" customHeight="false" outlineLevel="0" collapsed="false">
      <c r="A206" s="10" t="s">
        <v>1904</v>
      </c>
      <c r="B206" s="10" t="s">
        <v>1905</v>
      </c>
    </row>
    <row r="207" customFormat="false" ht="15" hidden="false" customHeight="false" outlineLevel="0" collapsed="false">
      <c r="A207" s="10" t="s">
        <v>1906</v>
      </c>
      <c r="B207" s="10" t="s">
        <v>1907</v>
      </c>
    </row>
    <row r="208" customFormat="false" ht="15" hidden="false" customHeight="false" outlineLevel="0" collapsed="false">
      <c r="A208" s="10" t="s">
        <v>1908</v>
      </c>
      <c r="B208" s="10" t="s">
        <v>1909</v>
      </c>
    </row>
    <row r="209" customFormat="false" ht="15" hidden="false" customHeight="false" outlineLevel="0" collapsed="false">
      <c r="A209" s="10" t="s">
        <v>1910</v>
      </c>
      <c r="B209" s="10" t="s">
        <v>1911</v>
      </c>
    </row>
    <row r="210" customFormat="false" ht="15" hidden="false" customHeight="false" outlineLevel="0" collapsed="false">
      <c r="A210" s="10" t="s">
        <v>1912</v>
      </c>
      <c r="B210" s="10" t="s">
        <v>1913</v>
      </c>
    </row>
    <row r="211" customFormat="false" ht="15" hidden="false" customHeight="false" outlineLevel="0" collapsed="false">
      <c r="A211" s="10" t="s">
        <v>1914</v>
      </c>
      <c r="B211" s="10" t="s">
        <v>1915</v>
      </c>
    </row>
    <row r="212" customFormat="false" ht="15" hidden="false" customHeight="false" outlineLevel="0" collapsed="false">
      <c r="A212" s="10" t="s">
        <v>1916</v>
      </c>
      <c r="B212" s="10" t="s">
        <v>1917</v>
      </c>
    </row>
    <row r="213" customFormat="false" ht="15" hidden="false" customHeight="false" outlineLevel="0" collapsed="false">
      <c r="A213" s="10" t="s">
        <v>1918</v>
      </c>
      <c r="B213" s="10" t="s">
        <v>1919</v>
      </c>
    </row>
    <row r="214" customFormat="false" ht="15" hidden="false" customHeight="false" outlineLevel="0" collapsed="false">
      <c r="A214" s="10" t="s">
        <v>1920</v>
      </c>
      <c r="B214" s="10" t="s">
        <v>1921</v>
      </c>
    </row>
    <row r="215" customFormat="false" ht="15" hidden="false" customHeight="false" outlineLevel="0" collapsed="false">
      <c r="A215" s="10" t="s">
        <v>1922</v>
      </c>
      <c r="B215" s="10" t="s">
        <v>1923</v>
      </c>
    </row>
    <row r="216" customFormat="false" ht="15" hidden="false" customHeight="false" outlineLevel="0" collapsed="false">
      <c r="A216" s="10" t="s">
        <v>1924</v>
      </c>
      <c r="B216" s="10" t="s">
        <v>1925</v>
      </c>
    </row>
    <row r="217" customFormat="false" ht="15" hidden="false" customHeight="false" outlineLevel="0" collapsed="false">
      <c r="A217" s="10" t="s">
        <v>1926</v>
      </c>
      <c r="B217" s="10" t="s">
        <v>1927</v>
      </c>
    </row>
    <row r="218" customFormat="false" ht="15" hidden="false" customHeight="false" outlineLevel="0" collapsed="false">
      <c r="A218" s="10" t="s">
        <v>1928</v>
      </c>
      <c r="B218" s="10" t="s">
        <v>1929</v>
      </c>
    </row>
    <row r="219" customFormat="false" ht="15" hidden="false" customHeight="false" outlineLevel="0" collapsed="false">
      <c r="A219" s="10" t="s">
        <v>1930</v>
      </c>
      <c r="B219" s="10" t="s">
        <v>1931</v>
      </c>
    </row>
    <row r="220" customFormat="false" ht="15" hidden="false" customHeight="false" outlineLevel="0" collapsed="false">
      <c r="A220" s="10" t="s">
        <v>1932</v>
      </c>
      <c r="B220" s="10" t="s">
        <v>1933</v>
      </c>
    </row>
    <row r="221" customFormat="false" ht="15" hidden="false" customHeight="false" outlineLevel="0" collapsed="false">
      <c r="A221" s="10" t="s">
        <v>1934</v>
      </c>
      <c r="B221" s="10" t="s">
        <v>1935</v>
      </c>
    </row>
    <row r="222" customFormat="false" ht="15" hidden="false" customHeight="false" outlineLevel="0" collapsed="false">
      <c r="A222" s="10" t="s">
        <v>1936</v>
      </c>
      <c r="B222" s="10" t="s">
        <v>1937</v>
      </c>
    </row>
    <row r="223" customFormat="false" ht="15" hidden="false" customHeight="false" outlineLevel="0" collapsed="false">
      <c r="A223" s="10" t="s">
        <v>1938</v>
      </c>
      <c r="B223" s="10" t="s">
        <v>1939</v>
      </c>
    </row>
    <row r="224" customFormat="false" ht="15" hidden="false" customHeight="false" outlineLevel="0" collapsed="false">
      <c r="A224" s="10" t="s">
        <v>1940</v>
      </c>
      <c r="B224" s="10" t="s">
        <v>1941</v>
      </c>
    </row>
    <row r="225" customFormat="false" ht="15" hidden="false" customHeight="false" outlineLevel="0" collapsed="false">
      <c r="A225" s="10" t="s">
        <v>1942</v>
      </c>
      <c r="B225" s="10" t="s">
        <v>1943</v>
      </c>
    </row>
    <row r="226" customFormat="false" ht="15" hidden="false" customHeight="false" outlineLevel="0" collapsed="false">
      <c r="A226" s="10" t="s">
        <v>1944</v>
      </c>
      <c r="B226" s="10" t="s">
        <v>1945</v>
      </c>
    </row>
    <row r="227" customFormat="false" ht="15" hidden="false" customHeight="false" outlineLevel="0" collapsed="false">
      <c r="A227" s="10" t="s">
        <v>1946</v>
      </c>
      <c r="B227" s="10" t="s">
        <v>1947</v>
      </c>
    </row>
    <row r="228" customFormat="false" ht="15" hidden="false" customHeight="false" outlineLevel="0" collapsed="false">
      <c r="A228" s="10" t="s">
        <v>1948</v>
      </c>
      <c r="B228" s="10" t="s">
        <v>1949</v>
      </c>
    </row>
    <row r="229" customFormat="false" ht="15" hidden="false" customHeight="false" outlineLevel="0" collapsed="false">
      <c r="A229" s="10" t="s">
        <v>1950</v>
      </c>
      <c r="B229" s="10" t="s">
        <v>1951</v>
      </c>
    </row>
    <row r="230" customFormat="false" ht="15" hidden="false" customHeight="false" outlineLevel="0" collapsed="false">
      <c r="A230" s="10" t="s">
        <v>1952</v>
      </c>
      <c r="B230" s="10" t="s">
        <v>1953</v>
      </c>
    </row>
    <row r="231" customFormat="false" ht="15" hidden="false" customHeight="false" outlineLevel="0" collapsed="false">
      <c r="A231" s="10" t="s">
        <v>1954</v>
      </c>
      <c r="B231" s="10" t="s">
        <v>1955</v>
      </c>
    </row>
    <row r="232" customFormat="false" ht="15" hidden="false" customHeight="false" outlineLevel="0" collapsed="false">
      <c r="A232" s="10" t="s">
        <v>1956</v>
      </c>
      <c r="B232" s="10" t="s">
        <v>1957</v>
      </c>
    </row>
    <row r="233" customFormat="false" ht="15" hidden="false" customHeight="false" outlineLevel="0" collapsed="false">
      <c r="A233" s="10" t="s">
        <v>1958</v>
      </c>
      <c r="B233" s="10" t="s">
        <v>1959</v>
      </c>
    </row>
    <row r="234" customFormat="false" ht="15" hidden="false" customHeight="false" outlineLevel="0" collapsed="false">
      <c r="A234" s="10" t="s">
        <v>1960</v>
      </c>
      <c r="B234" s="10" t="s">
        <v>1961</v>
      </c>
    </row>
    <row r="235" customFormat="false" ht="15" hidden="false" customHeight="false" outlineLevel="0" collapsed="false">
      <c r="A235" s="10" t="s">
        <v>1962</v>
      </c>
      <c r="B235" s="10" t="s">
        <v>1963</v>
      </c>
    </row>
    <row r="236" customFormat="false" ht="15" hidden="false" customHeight="false" outlineLevel="0" collapsed="false">
      <c r="A236" s="10" t="s">
        <v>1964</v>
      </c>
      <c r="B236" s="10" t="s">
        <v>1965</v>
      </c>
    </row>
    <row r="237" customFormat="false" ht="15" hidden="false" customHeight="false" outlineLevel="0" collapsed="false">
      <c r="A237" s="10" t="s">
        <v>1966</v>
      </c>
      <c r="B237" s="10" t="s">
        <v>1967</v>
      </c>
    </row>
    <row r="238" customFormat="false" ht="15" hidden="false" customHeight="false" outlineLevel="0" collapsed="false">
      <c r="A238" s="10" t="s">
        <v>1968</v>
      </c>
      <c r="B238" s="10" t="s">
        <v>1969</v>
      </c>
    </row>
    <row r="239" customFormat="false" ht="15" hidden="false" customHeight="false" outlineLevel="0" collapsed="false">
      <c r="A239" s="10" t="s">
        <v>1970</v>
      </c>
      <c r="B239" s="10" t="s">
        <v>1971</v>
      </c>
    </row>
    <row r="240" customFormat="false" ht="15" hidden="false" customHeight="false" outlineLevel="0" collapsed="false">
      <c r="A240" s="10" t="s">
        <v>1972</v>
      </c>
      <c r="B240" s="10" t="s">
        <v>1973</v>
      </c>
    </row>
    <row r="241" customFormat="false" ht="15" hidden="false" customHeight="false" outlineLevel="0" collapsed="false">
      <c r="A241" s="10" t="s">
        <v>1974</v>
      </c>
      <c r="B241" s="10" t="s">
        <v>1975</v>
      </c>
    </row>
    <row r="242" customFormat="false" ht="15" hidden="false" customHeight="false" outlineLevel="0" collapsed="false">
      <c r="A242" s="10" t="s">
        <v>1976</v>
      </c>
      <c r="B242" s="10" t="s">
        <v>1977</v>
      </c>
    </row>
    <row r="243" customFormat="false" ht="15" hidden="false" customHeight="false" outlineLevel="0" collapsed="false">
      <c r="A243" s="10" t="s">
        <v>1978</v>
      </c>
      <c r="B243" s="10" t="s">
        <v>1979</v>
      </c>
    </row>
    <row r="244" customFormat="false" ht="15" hidden="false" customHeight="false" outlineLevel="0" collapsed="false">
      <c r="A244" s="10" t="s">
        <v>1980</v>
      </c>
      <c r="B244" s="10" t="s">
        <v>1981</v>
      </c>
    </row>
    <row r="245" customFormat="false" ht="15" hidden="false" customHeight="false" outlineLevel="0" collapsed="false">
      <c r="A245" s="10" t="s">
        <v>1982</v>
      </c>
      <c r="B245" s="10" t="s">
        <v>1983</v>
      </c>
    </row>
    <row r="246" customFormat="false" ht="15" hidden="false" customHeight="false" outlineLevel="0" collapsed="false">
      <c r="A246" s="10" t="s">
        <v>1984</v>
      </c>
      <c r="B246" s="10" t="s">
        <v>1985</v>
      </c>
    </row>
    <row r="247" customFormat="false" ht="15" hidden="false" customHeight="false" outlineLevel="0" collapsed="false">
      <c r="A247" s="10" t="s">
        <v>1986</v>
      </c>
      <c r="B247" s="10" t="s">
        <v>1987</v>
      </c>
    </row>
    <row r="248" customFormat="false" ht="15" hidden="false" customHeight="false" outlineLevel="0" collapsed="false">
      <c r="A248" s="10" t="s">
        <v>1988</v>
      </c>
      <c r="B248" s="10" t="s">
        <v>1989</v>
      </c>
    </row>
    <row r="249" customFormat="false" ht="15" hidden="false" customHeight="false" outlineLevel="0" collapsed="false">
      <c r="A249" s="10" t="s">
        <v>1990</v>
      </c>
      <c r="B249" s="10" t="s">
        <v>1991</v>
      </c>
    </row>
    <row r="250" customFormat="false" ht="15" hidden="false" customHeight="false" outlineLevel="0" collapsed="false">
      <c r="A250" s="10" t="s">
        <v>1992</v>
      </c>
      <c r="B250" s="10" t="s">
        <v>1993</v>
      </c>
    </row>
    <row r="251" customFormat="false" ht="15" hidden="false" customHeight="false" outlineLevel="0" collapsed="false">
      <c r="A251" s="10" t="s">
        <v>1994</v>
      </c>
      <c r="B251" s="10" t="s">
        <v>1995</v>
      </c>
    </row>
    <row r="252" customFormat="false" ht="15" hidden="false" customHeight="false" outlineLevel="0" collapsed="false">
      <c r="A252" s="10" t="s">
        <v>1996</v>
      </c>
      <c r="B252" s="10" t="s">
        <v>1997</v>
      </c>
    </row>
    <row r="253" customFormat="false" ht="15" hidden="false" customHeight="false" outlineLevel="0" collapsed="false">
      <c r="A253" s="10" t="s">
        <v>1998</v>
      </c>
      <c r="B253" s="10" t="s">
        <v>1999</v>
      </c>
    </row>
    <row r="254" customFormat="false" ht="15" hidden="false" customHeight="false" outlineLevel="0" collapsed="false">
      <c r="A254" s="10" t="s">
        <v>2000</v>
      </c>
      <c r="B254" s="10" t="s">
        <v>2001</v>
      </c>
    </row>
    <row r="255" customFormat="false" ht="15" hidden="false" customHeight="false" outlineLevel="0" collapsed="false">
      <c r="A255" s="10" t="s">
        <v>2002</v>
      </c>
      <c r="B255" s="10" t="s">
        <v>2003</v>
      </c>
    </row>
    <row r="256" customFormat="false" ht="15" hidden="false" customHeight="false" outlineLevel="0" collapsed="false">
      <c r="A256" s="10" t="s">
        <v>2004</v>
      </c>
      <c r="B256" s="10" t="s">
        <v>2005</v>
      </c>
    </row>
    <row r="257" customFormat="false" ht="15" hidden="false" customHeight="false" outlineLevel="0" collapsed="false">
      <c r="A257" s="10" t="s">
        <v>2006</v>
      </c>
      <c r="B257" s="10" t="s">
        <v>2007</v>
      </c>
    </row>
    <row r="258" customFormat="false" ht="15" hidden="false" customHeight="false" outlineLevel="0" collapsed="false">
      <c r="A258" s="10" t="s">
        <v>2008</v>
      </c>
      <c r="B258" s="10" t="s">
        <v>2009</v>
      </c>
    </row>
    <row r="259" customFormat="false" ht="15" hidden="false" customHeight="false" outlineLevel="0" collapsed="false">
      <c r="A259" s="10" t="s">
        <v>2010</v>
      </c>
      <c r="B259" s="10" t="s">
        <v>2011</v>
      </c>
    </row>
    <row r="260" customFormat="false" ht="15" hidden="false" customHeight="false" outlineLevel="0" collapsed="false">
      <c r="A260" s="10" t="s">
        <v>2012</v>
      </c>
      <c r="B260" s="10" t="s">
        <v>2013</v>
      </c>
    </row>
    <row r="261" customFormat="false" ht="15" hidden="false" customHeight="false" outlineLevel="0" collapsed="false">
      <c r="A261" s="10" t="s">
        <v>2014</v>
      </c>
      <c r="B261" s="10" t="s">
        <v>2015</v>
      </c>
    </row>
    <row r="262" customFormat="false" ht="15" hidden="false" customHeight="false" outlineLevel="0" collapsed="false">
      <c r="A262" s="10" t="s">
        <v>2016</v>
      </c>
      <c r="B262" s="10" t="s">
        <v>2017</v>
      </c>
    </row>
    <row r="263" customFormat="false" ht="15" hidden="false" customHeight="false" outlineLevel="0" collapsed="false">
      <c r="A263" s="10" t="s">
        <v>2018</v>
      </c>
      <c r="B263" s="10" t="s">
        <v>2019</v>
      </c>
    </row>
    <row r="264" customFormat="false" ht="15" hidden="false" customHeight="false" outlineLevel="0" collapsed="false">
      <c r="A264" s="10" t="s">
        <v>2020</v>
      </c>
      <c r="B264" s="10" t="s">
        <v>2021</v>
      </c>
    </row>
    <row r="265" customFormat="false" ht="15" hidden="false" customHeight="false" outlineLevel="0" collapsed="false">
      <c r="A265" s="10" t="s">
        <v>2022</v>
      </c>
      <c r="B265" s="10" t="s">
        <v>2023</v>
      </c>
    </row>
    <row r="266" customFormat="false" ht="15" hidden="false" customHeight="false" outlineLevel="0" collapsed="false">
      <c r="A266" s="10" t="s">
        <v>2024</v>
      </c>
      <c r="B266" s="10" t="s">
        <v>2025</v>
      </c>
    </row>
    <row r="267" customFormat="false" ht="15" hidden="false" customHeight="false" outlineLevel="0" collapsed="false">
      <c r="A267" s="10" t="s">
        <v>2026</v>
      </c>
      <c r="B267" s="10" t="s">
        <v>2027</v>
      </c>
    </row>
    <row r="268" customFormat="false" ht="15" hidden="false" customHeight="false" outlineLevel="0" collapsed="false">
      <c r="A268" s="10" t="s">
        <v>2028</v>
      </c>
      <c r="B268" s="10" t="s">
        <v>2029</v>
      </c>
    </row>
    <row r="269" customFormat="false" ht="15" hidden="false" customHeight="false" outlineLevel="0" collapsed="false">
      <c r="A269" s="10" t="s">
        <v>2030</v>
      </c>
      <c r="B269" s="10" t="s">
        <v>2031</v>
      </c>
    </row>
    <row r="270" customFormat="false" ht="15" hidden="false" customHeight="false" outlineLevel="0" collapsed="false">
      <c r="A270" s="10" t="s">
        <v>2032</v>
      </c>
      <c r="B270" s="10" t="s">
        <v>2033</v>
      </c>
    </row>
    <row r="271" customFormat="false" ht="15" hidden="false" customHeight="false" outlineLevel="0" collapsed="false">
      <c r="A271" s="10" t="s">
        <v>2034</v>
      </c>
      <c r="B271" s="10" t="s">
        <v>2035</v>
      </c>
    </row>
    <row r="272" customFormat="false" ht="15" hidden="false" customHeight="false" outlineLevel="0" collapsed="false">
      <c r="A272" s="10" t="s">
        <v>2036</v>
      </c>
      <c r="B272" s="10" t="s">
        <v>2037</v>
      </c>
    </row>
    <row r="273" customFormat="false" ht="15" hidden="false" customHeight="false" outlineLevel="0" collapsed="false">
      <c r="A273" s="10" t="s">
        <v>2038</v>
      </c>
      <c r="B273" s="10" t="s">
        <v>2039</v>
      </c>
    </row>
    <row r="274" customFormat="false" ht="15" hidden="false" customHeight="false" outlineLevel="0" collapsed="false">
      <c r="A274" s="10" t="s">
        <v>2040</v>
      </c>
      <c r="B274" s="10" t="s">
        <v>2041</v>
      </c>
    </row>
    <row r="275" customFormat="false" ht="15" hidden="false" customHeight="false" outlineLevel="0" collapsed="false">
      <c r="A275" s="10" t="s">
        <v>2042</v>
      </c>
      <c r="B275" s="10" t="s">
        <v>2043</v>
      </c>
    </row>
    <row r="276" customFormat="false" ht="15" hidden="false" customHeight="false" outlineLevel="0" collapsed="false">
      <c r="A276" s="10" t="s">
        <v>2044</v>
      </c>
      <c r="B276" s="10" t="s">
        <v>2045</v>
      </c>
    </row>
    <row r="277" customFormat="false" ht="15" hidden="false" customHeight="false" outlineLevel="0" collapsed="false">
      <c r="A277" s="10" t="s">
        <v>2046</v>
      </c>
      <c r="B277" s="10" t="s">
        <v>2047</v>
      </c>
    </row>
    <row r="278" customFormat="false" ht="15" hidden="false" customHeight="false" outlineLevel="0" collapsed="false">
      <c r="A278" s="10" t="s">
        <v>2048</v>
      </c>
      <c r="B278" s="10" t="s">
        <v>2049</v>
      </c>
    </row>
    <row r="279" customFormat="false" ht="15" hidden="false" customHeight="false" outlineLevel="0" collapsed="false">
      <c r="A279" s="10" t="s">
        <v>2050</v>
      </c>
      <c r="B279" s="10" t="s">
        <v>2051</v>
      </c>
    </row>
    <row r="280" customFormat="false" ht="15" hidden="false" customHeight="false" outlineLevel="0" collapsed="false">
      <c r="A280" s="10" t="s">
        <v>2052</v>
      </c>
      <c r="B280" s="10" t="s">
        <v>2053</v>
      </c>
    </row>
    <row r="281" customFormat="false" ht="15" hidden="false" customHeight="false" outlineLevel="0" collapsed="false">
      <c r="A281" s="10" t="s">
        <v>2054</v>
      </c>
      <c r="B281" s="10" t="s">
        <v>2055</v>
      </c>
    </row>
    <row r="282" customFormat="false" ht="15" hidden="false" customHeight="false" outlineLevel="0" collapsed="false">
      <c r="A282" s="10" t="s">
        <v>2056</v>
      </c>
      <c r="B282" s="10" t="s">
        <v>2057</v>
      </c>
    </row>
    <row r="283" customFormat="false" ht="15" hidden="false" customHeight="false" outlineLevel="0" collapsed="false">
      <c r="A283" s="10" t="s">
        <v>2058</v>
      </c>
      <c r="B283" s="10" t="s">
        <v>2059</v>
      </c>
    </row>
    <row r="284" customFormat="false" ht="15" hidden="false" customHeight="false" outlineLevel="0" collapsed="false">
      <c r="A284" s="10" t="s">
        <v>2060</v>
      </c>
      <c r="B284" s="10" t="s">
        <v>2061</v>
      </c>
    </row>
    <row r="285" customFormat="false" ht="15" hidden="false" customHeight="false" outlineLevel="0" collapsed="false">
      <c r="A285" s="10" t="s">
        <v>2062</v>
      </c>
      <c r="B285" s="10" t="s">
        <v>2063</v>
      </c>
    </row>
    <row r="286" customFormat="false" ht="15" hidden="false" customHeight="false" outlineLevel="0" collapsed="false">
      <c r="A286" s="10" t="s">
        <v>2064</v>
      </c>
      <c r="B286" s="10" t="s">
        <v>2065</v>
      </c>
    </row>
    <row r="287" customFormat="false" ht="15" hidden="false" customHeight="false" outlineLevel="0" collapsed="false">
      <c r="A287" s="10" t="s">
        <v>2066</v>
      </c>
      <c r="B287" s="10" t="s">
        <v>2067</v>
      </c>
    </row>
    <row r="288" customFormat="false" ht="15" hidden="false" customHeight="false" outlineLevel="0" collapsed="false">
      <c r="A288" s="10" t="s">
        <v>2068</v>
      </c>
      <c r="B288" s="10" t="s">
        <v>2069</v>
      </c>
    </row>
    <row r="289" customFormat="false" ht="15" hidden="false" customHeight="false" outlineLevel="0" collapsed="false">
      <c r="A289" s="10" t="s">
        <v>2070</v>
      </c>
      <c r="B289" s="10" t="s">
        <v>2071</v>
      </c>
    </row>
    <row r="290" customFormat="false" ht="15" hidden="false" customHeight="false" outlineLevel="0" collapsed="false">
      <c r="A290" s="10" t="s">
        <v>2072</v>
      </c>
      <c r="B290" s="10" t="s">
        <v>2073</v>
      </c>
    </row>
    <row r="291" customFormat="false" ht="15" hidden="false" customHeight="false" outlineLevel="0" collapsed="false">
      <c r="A291" s="10" t="s">
        <v>2074</v>
      </c>
      <c r="B291" s="10" t="s">
        <v>2075</v>
      </c>
    </row>
    <row r="292" customFormat="false" ht="15" hidden="false" customHeight="false" outlineLevel="0" collapsed="false">
      <c r="A292" s="10" t="s">
        <v>2076</v>
      </c>
      <c r="B292" s="10" t="s">
        <v>2077</v>
      </c>
    </row>
    <row r="293" customFormat="false" ht="15" hidden="false" customHeight="false" outlineLevel="0" collapsed="false">
      <c r="A293" s="10" t="s">
        <v>2078</v>
      </c>
      <c r="B293" s="10" t="s">
        <v>2079</v>
      </c>
    </row>
    <row r="294" customFormat="false" ht="15" hidden="false" customHeight="false" outlineLevel="0" collapsed="false">
      <c r="A294" s="10" t="s">
        <v>2080</v>
      </c>
      <c r="B294" s="10" t="s">
        <v>2081</v>
      </c>
    </row>
    <row r="295" customFormat="false" ht="15" hidden="false" customHeight="false" outlineLevel="0" collapsed="false">
      <c r="A295" s="10" t="s">
        <v>2082</v>
      </c>
      <c r="B295" s="10" t="s">
        <v>2083</v>
      </c>
    </row>
    <row r="296" customFormat="false" ht="15" hidden="false" customHeight="false" outlineLevel="0" collapsed="false">
      <c r="A296" s="10" t="s">
        <v>2084</v>
      </c>
      <c r="B296" s="10" t="s">
        <v>2085</v>
      </c>
    </row>
    <row r="297" customFormat="false" ht="15" hidden="false" customHeight="false" outlineLevel="0" collapsed="false">
      <c r="A297" s="10" t="s">
        <v>2086</v>
      </c>
      <c r="B297" s="10" t="s">
        <v>2087</v>
      </c>
    </row>
    <row r="298" customFormat="false" ht="15" hidden="false" customHeight="false" outlineLevel="0" collapsed="false">
      <c r="A298" s="10" t="s">
        <v>2088</v>
      </c>
      <c r="B298" s="10" t="s">
        <v>2089</v>
      </c>
    </row>
    <row r="299" customFormat="false" ht="15" hidden="false" customHeight="false" outlineLevel="0" collapsed="false">
      <c r="A299" s="10" t="s">
        <v>2090</v>
      </c>
      <c r="B299" s="10" t="s">
        <v>2091</v>
      </c>
    </row>
    <row r="300" customFormat="false" ht="15" hidden="false" customHeight="false" outlineLevel="0" collapsed="false">
      <c r="A300" s="10" t="s">
        <v>2092</v>
      </c>
      <c r="B300" s="10" t="s">
        <v>2093</v>
      </c>
    </row>
    <row r="301" customFormat="false" ht="15" hidden="false" customHeight="false" outlineLevel="0" collapsed="false">
      <c r="A301" s="10" t="s">
        <v>2094</v>
      </c>
      <c r="B301" s="10" t="s">
        <v>2095</v>
      </c>
    </row>
    <row r="302" customFormat="false" ht="15" hidden="false" customHeight="false" outlineLevel="0" collapsed="false">
      <c r="A302" s="10" t="s">
        <v>2096</v>
      </c>
      <c r="B302" s="10" t="s">
        <v>2097</v>
      </c>
    </row>
    <row r="303" customFormat="false" ht="15" hidden="false" customHeight="false" outlineLevel="0" collapsed="false">
      <c r="A303" s="10" t="s">
        <v>2098</v>
      </c>
      <c r="B303" s="10" t="s">
        <v>2099</v>
      </c>
    </row>
    <row r="304" customFormat="false" ht="15" hidden="false" customHeight="false" outlineLevel="0" collapsed="false">
      <c r="A304" s="10" t="s">
        <v>2100</v>
      </c>
      <c r="B304" s="10" t="s">
        <v>2101</v>
      </c>
    </row>
    <row r="305" customFormat="false" ht="15" hidden="false" customHeight="false" outlineLevel="0" collapsed="false">
      <c r="A305" s="10" t="s">
        <v>2102</v>
      </c>
      <c r="B305" s="10" t="s">
        <v>2103</v>
      </c>
    </row>
    <row r="306" customFormat="false" ht="15" hidden="false" customHeight="false" outlineLevel="0" collapsed="false">
      <c r="A306" s="10" t="s">
        <v>2104</v>
      </c>
      <c r="B306" s="10" t="s">
        <v>2105</v>
      </c>
    </row>
    <row r="307" customFormat="false" ht="15" hidden="false" customHeight="false" outlineLevel="0" collapsed="false">
      <c r="A307" s="10" t="s">
        <v>2106</v>
      </c>
      <c r="B307" s="10" t="s">
        <v>2107</v>
      </c>
    </row>
    <row r="308" customFormat="false" ht="15" hidden="false" customHeight="false" outlineLevel="0" collapsed="false">
      <c r="A308" s="10" t="s">
        <v>2108</v>
      </c>
      <c r="B308" s="10" t="s">
        <v>2109</v>
      </c>
    </row>
    <row r="309" customFormat="false" ht="15" hidden="false" customHeight="false" outlineLevel="0" collapsed="false">
      <c r="A309" s="10" t="s">
        <v>2110</v>
      </c>
      <c r="B309" s="10" t="s">
        <v>2111</v>
      </c>
    </row>
    <row r="310" customFormat="false" ht="15" hidden="false" customHeight="false" outlineLevel="0" collapsed="false">
      <c r="A310" s="10" t="s">
        <v>2112</v>
      </c>
      <c r="B310" s="10" t="s">
        <v>2113</v>
      </c>
    </row>
    <row r="311" customFormat="false" ht="15" hidden="false" customHeight="false" outlineLevel="0" collapsed="false">
      <c r="A311" s="10" t="s">
        <v>2114</v>
      </c>
      <c r="B311" s="10" t="s">
        <v>2115</v>
      </c>
    </row>
    <row r="312" customFormat="false" ht="15" hidden="false" customHeight="false" outlineLevel="0" collapsed="false">
      <c r="A312" s="10" t="s">
        <v>2116</v>
      </c>
      <c r="B312" s="10" t="s">
        <v>2117</v>
      </c>
    </row>
    <row r="313" customFormat="false" ht="15" hidden="false" customHeight="false" outlineLevel="0" collapsed="false">
      <c r="A313" s="10" t="s">
        <v>2118</v>
      </c>
      <c r="B313" s="10" t="s">
        <v>2119</v>
      </c>
    </row>
    <row r="314" customFormat="false" ht="15" hidden="false" customHeight="false" outlineLevel="0" collapsed="false">
      <c r="A314" s="10" t="s">
        <v>2120</v>
      </c>
      <c r="B314" s="10" t="s">
        <v>2121</v>
      </c>
    </row>
    <row r="315" customFormat="false" ht="15" hidden="false" customHeight="false" outlineLevel="0" collapsed="false">
      <c r="A315" s="10" t="s">
        <v>2122</v>
      </c>
      <c r="B315" s="10" t="s">
        <v>2123</v>
      </c>
    </row>
    <row r="316" customFormat="false" ht="15" hidden="false" customHeight="false" outlineLevel="0" collapsed="false">
      <c r="A316" s="10" t="s">
        <v>2124</v>
      </c>
      <c r="B316" s="10" t="s">
        <v>2125</v>
      </c>
    </row>
    <row r="317" customFormat="false" ht="15" hidden="false" customHeight="false" outlineLevel="0" collapsed="false">
      <c r="A317" s="10" t="s">
        <v>2126</v>
      </c>
      <c r="B317" s="10" t="s">
        <v>2127</v>
      </c>
    </row>
    <row r="318" customFormat="false" ht="15" hidden="false" customHeight="false" outlineLevel="0" collapsed="false">
      <c r="A318" s="10" t="s">
        <v>2128</v>
      </c>
      <c r="B318" s="10" t="s">
        <v>2129</v>
      </c>
    </row>
    <row r="319" customFormat="false" ht="15" hidden="false" customHeight="false" outlineLevel="0" collapsed="false">
      <c r="A319" s="10" t="s">
        <v>2130</v>
      </c>
      <c r="B319" s="10" t="s">
        <v>2131</v>
      </c>
    </row>
    <row r="320" customFormat="false" ht="15" hidden="false" customHeight="false" outlineLevel="0" collapsed="false">
      <c r="A320" s="10" t="s">
        <v>2132</v>
      </c>
      <c r="B320" s="10" t="s">
        <v>2133</v>
      </c>
    </row>
    <row r="321" customFormat="false" ht="15" hidden="false" customHeight="false" outlineLevel="0" collapsed="false">
      <c r="A321" s="10" t="s">
        <v>2134</v>
      </c>
      <c r="B321" s="10" t="s">
        <v>2135</v>
      </c>
    </row>
    <row r="322" customFormat="false" ht="15" hidden="false" customHeight="false" outlineLevel="0" collapsed="false">
      <c r="A322" s="10" t="s">
        <v>2136</v>
      </c>
      <c r="B322" s="10" t="s">
        <v>2137</v>
      </c>
    </row>
    <row r="323" customFormat="false" ht="15" hidden="false" customHeight="false" outlineLevel="0" collapsed="false">
      <c r="A323" s="10" t="s">
        <v>2138</v>
      </c>
      <c r="B323" s="10" t="s">
        <v>2139</v>
      </c>
    </row>
    <row r="324" customFormat="false" ht="15" hidden="false" customHeight="false" outlineLevel="0" collapsed="false">
      <c r="A324" s="10" t="s">
        <v>2140</v>
      </c>
      <c r="B324" s="10" t="s">
        <v>2141</v>
      </c>
    </row>
    <row r="325" customFormat="false" ht="15" hidden="false" customHeight="false" outlineLevel="0" collapsed="false">
      <c r="A325" s="10" t="s">
        <v>2142</v>
      </c>
      <c r="B325" s="10" t="s">
        <v>2143</v>
      </c>
    </row>
    <row r="326" customFormat="false" ht="15" hidden="false" customHeight="false" outlineLevel="0" collapsed="false">
      <c r="A326" s="10" t="s">
        <v>2144</v>
      </c>
      <c r="B326" s="10" t="s">
        <v>2145</v>
      </c>
    </row>
    <row r="327" customFormat="false" ht="15" hidden="false" customHeight="false" outlineLevel="0" collapsed="false">
      <c r="A327" s="10" t="s">
        <v>2146</v>
      </c>
      <c r="B327" s="10" t="s">
        <v>2147</v>
      </c>
    </row>
    <row r="328" customFormat="false" ht="15" hidden="false" customHeight="false" outlineLevel="0" collapsed="false">
      <c r="A328" s="10" t="s">
        <v>2148</v>
      </c>
      <c r="B328" s="10" t="s">
        <v>2149</v>
      </c>
    </row>
    <row r="329" customFormat="false" ht="15" hidden="false" customHeight="false" outlineLevel="0" collapsed="false">
      <c r="A329" s="10" t="s">
        <v>2150</v>
      </c>
      <c r="B329" s="10" t="s">
        <v>2151</v>
      </c>
    </row>
    <row r="330" customFormat="false" ht="15" hidden="false" customHeight="false" outlineLevel="0" collapsed="false">
      <c r="A330" s="10" t="s">
        <v>2152</v>
      </c>
      <c r="B330" s="10" t="s">
        <v>2153</v>
      </c>
    </row>
    <row r="331" customFormat="false" ht="15" hidden="false" customHeight="false" outlineLevel="0" collapsed="false">
      <c r="A331" s="10" t="s">
        <v>2154</v>
      </c>
      <c r="B331" s="10" t="s">
        <v>2155</v>
      </c>
    </row>
    <row r="332" customFormat="false" ht="15" hidden="false" customHeight="false" outlineLevel="0" collapsed="false">
      <c r="A332" s="10" t="s">
        <v>2156</v>
      </c>
      <c r="B332" s="10" t="s">
        <v>2157</v>
      </c>
    </row>
    <row r="333" customFormat="false" ht="15" hidden="false" customHeight="false" outlineLevel="0" collapsed="false">
      <c r="A333" s="10" t="s">
        <v>2158</v>
      </c>
      <c r="B333" s="10" t="s">
        <v>2159</v>
      </c>
    </row>
    <row r="334" customFormat="false" ht="15" hidden="false" customHeight="false" outlineLevel="0" collapsed="false">
      <c r="A334" s="10" t="s">
        <v>2160</v>
      </c>
      <c r="B334" s="10" t="s">
        <v>2161</v>
      </c>
    </row>
    <row r="335" customFormat="false" ht="15" hidden="false" customHeight="false" outlineLevel="0" collapsed="false">
      <c r="A335" s="10" t="s">
        <v>2162</v>
      </c>
      <c r="B335" s="10" t="s">
        <v>2163</v>
      </c>
    </row>
    <row r="336" customFormat="false" ht="15" hidden="false" customHeight="false" outlineLevel="0" collapsed="false">
      <c r="A336" s="10" t="s">
        <v>2164</v>
      </c>
      <c r="B336" s="10" t="s">
        <v>2165</v>
      </c>
    </row>
    <row r="337" customFormat="false" ht="15" hidden="false" customHeight="false" outlineLevel="0" collapsed="false">
      <c r="A337" s="10" t="s">
        <v>2166</v>
      </c>
      <c r="B337" s="10" t="s">
        <v>2167</v>
      </c>
    </row>
    <row r="338" customFormat="false" ht="15" hidden="false" customHeight="false" outlineLevel="0" collapsed="false">
      <c r="A338" s="10" t="s">
        <v>2168</v>
      </c>
      <c r="B338" s="10" t="s">
        <v>2169</v>
      </c>
    </row>
    <row r="339" customFormat="false" ht="15" hidden="false" customHeight="false" outlineLevel="0" collapsed="false">
      <c r="A339" s="10" t="s">
        <v>2170</v>
      </c>
      <c r="B339" s="10" t="s">
        <v>2171</v>
      </c>
    </row>
    <row r="340" customFormat="false" ht="15" hidden="false" customHeight="false" outlineLevel="0" collapsed="false">
      <c r="A340" s="10" t="s">
        <v>2172</v>
      </c>
      <c r="B340" s="10" t="s">
        <v>2173</v>
      </c>
    </row>
    <row r="341" customFormat="false" ht="15" hidden="false" customHeight="false" outlineLevel="0" collapsed="false">
      <c r="A341" s="10" t="s">
        <v>2174</v>
      </c>
      <c r="B341" s="10" t="s">
        <v>2175</v>
      </c>
    </row>
    <row r="342" customFormat="false" ht="15" hidden="false" customHeight="false" outlineLevel="0" collapsed="false">
      <c r="A342" s="10" t="s">
        <v>2176</v>
      </c>
      <c r="B342" s="10" t="s">
        <v>2177</v>
      </c>
    </row>
    <row r="343" customFormat="false" ht="15" hidden="false" customHeight="false" outlineLevel="0" collapsed="false">
      <c r="A343" s="10" t="s">
        <v>2178</v>
      </c>
      <c r="B343" s="10" t="s">
        <v>2179</v>
      </c>
    </row>
    <row r="344" customFormat="false" ht="15" hidden="false" customHeight="false" outlineLevel="0" collapsed="false">
      <c r="A344" s="10" t="s">
        <v>2180</v>
      </c>
      <c r="B344" s="10" t="s">
        <v>2181</v>
      </c>
    </row>
    <row r="345" customFormat="false" ht="15" hidden="false" customHeight="false" outlineLevel="0" collapsed="false">
      <c r="A345" s="10" t="s">
        <v>2182</v>
      </c>
      <c r="B345" s="10" t="s">
        <v>2183</v>
      </c>
    </row>
    <row r="346" customFormat="false" ht="15" hidden="false" customHeight="false" outlineLevel="0" collapsed="false">
      <c r="A346" s="10" t="s">
        <v>2184</v>
      </c>
      <c r="B346" s="10" t="s">
        <v>2185</v>
      </c>
    </row>
    <row r="347" customFormat="false" ht="15" hidden="false" customHeight="false" outlineLevel="0" collapsed="false">
      <c r="A347" s="10" t="s">
        <v>2186</v>
      </c>
      <c r="B347" s="10" t="s">
        <v>2187</v>
      </c>
    </row>
    <row r="348" customFormat="false" ht="15" hidden="false" customHeight="false" outlineLevel="0" collapsed="false">
      <c r="A348" s="10" t="s">
        <v>2188</v>
      </c>
      <c r="B348" s="10" t="s">
        <v>2189</v>
      </c>
    </row>
    <row r="349" customFormat="false" ht="15" hidden="false" customHeight="false" outlineLevel="0" collapsed="false">
      <c r="A349" s="10" t="s">
        <v>2190</v>
      </c>
      <c r="B349" s="10" t="s">
        <v>2191</v>
      </c>
    </row>
    <row r="350" customFormat="false" ht="15" hidden="false" customHeight="false" outlineLevel="0" collapsed="false">
      <c r="A350" s="10" t="s">
        <v>2192</v>
      </c>
      <c r="B350" s="10" t="s">
        <v>2193</v>
      </c>
    </row>
    <row r="351" customFormat="false" ht="15" hidden="false" customHeight="false" outlineLevel="0" collapsed="false">
      <c r="A351" s="10" t="s">
        <v>2194</v>
      </c>
      <c r="B351" s="10" t="s">
        <v>2195</v>
      </c>
    </row>
    <row r="352" customFormat="false" ht="15" hidden="false" customHeight="false" outlineLevel="0" collapsed="false">
      <c r="A352" s="10" t="s">
        <v>2196</v>
      </c>
      <c r="B352" s="10" t="s">
        <v>2197</v>
      </c>
    </row>
    <row r="353" customFormat="false" ht="15" hidden="false" customHeight="false" outlineLevel="0" collapsed="false">
      <c r="A353" s="10" t="s">
        <v>2198</v>
      </c>
      <c r="B353" s="10" t="s">
        <v>2199</v>
      </c>
    </row>
    <row r="354" customFormat="false" ht="15" hidden="false" customHeight="false" outlineLevel="0" collapsed="false">
      <c r="A354" s="10" t="s">
        <v>2200</v>
      </c>
      <c r="B354" s="10" t="s">
        <v>2201</v>
      </c>
    </row>
    <row r="355" customFormat="false" ht="15" hidden="false" customHeight="false" outlineLevel="0" collapsed="false">
      <c r="A355" s="10" t="s">
        <v>2202</v>
      </c>
      <c r="B355" s="10" t="s">
        <v>2203</v>
      </c>
    </row>
    <row r="357" customFormat="false" ht="15" hidden="false" customHeight="false" outlineLevel="0" collapsed="false">
      <c r="A357" s="17" t="s">
        <v>2204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2026-08-24T08:37:57Z</dcterms:created>
  <dc:creator>openpyxl</dc:creator>
  <dc:description/>
  <dc:language>en-US</dc:language>
  <cp:lastModifiedBy/>
  <dcterms:modified xsi:type="dcterms:W3CDTF">2026-08-24T08:37:57Z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